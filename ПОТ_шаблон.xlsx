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Y_GIT\interview\задание\"/>
    </mc:Choice>
  </mc:AlternateContent>
  <xr:revisionPtr revIDLastSave="0" documentId="13_ncr:1_{F0965A6E-5AE6-4E56-A377-80E31CA55573}" xr6:coauthVersionLast="47" xr6:coauthVersionMax="47" xr10:uidLastSave="{00000000-0000-0000-0000-000000000000}"/>
  <bookViews>
    <workbookView xWindow="28680" yWindow="-120" windowWidth="51840" windowHeight="21120" activeTab="1" xr2:uid="{00000000-000D-0000-FFFF-FFFF00000000}"/>
  </bookViews>
  <sheets>
    <sheet name="Инструкция" sheetId="1" r:id="rId1"/>
    <sheet name="ПОТ_Премии" sheetId="2" r:id="rId2"/>
    <sheet name="Описание_полей" sheetId="3" r:id="rId3"/>
    <sheet name="Справочники" sheetId="4" r:id="rId4"/>
    <sheet name="Шкалы" sheetId="5" r:id="rId5"/>
    <sheet name="Шкалы_ступени" sheetId="6" r:id="rId6"/>
    <sheet name="Проверки" sheetId="7" r:id="rId7"/>
    <sheet name="Пример_расчёта" sheetId="8" r:id="rId8"/>
  </sheets>
  <definedNames>
    <definedName name="_xlnm._FilterDatabase" localSheetId="2" hidden="1">Описание_полей!$A$1:$H$45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8" l="1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C6" i="7"/>
  <c r="B6" i="7"/>
  <c r="B5" i="7"/>
  <c r="B4" i="7"/>
  <c r="G15" i="6"/>
  <c r="B15" i="6"/>
  <c r="I15" i="6" s="1"/>
  <c r="G14" i="6"/>
  <c r="B14" i="6"/>
  <c r="G13" i="6"/>
  <c r="I13" i="6" s="1"/>
  <c r="B13" i="6"/>
  <c r="G12" i="6"/>
  <c r="B12" i="6"/>
  <c r="I12" i="6" s="1"/>
  <c r="G11" i="6"/>
  <c r="B11" i="6"/>
  <c r="I11" i="6" s="1"/>
  <c r="G10" i="6"/>
  <c r="B10" i="6"/>
  <c r="I10" i="6" s="1"/>
  <c r="G9" i="6"/>
  <c r="B9" i="6"/>
  <c r="I9" i="6" s="1"/>
  <c r="G8" i="6"/>
  <c r="B8" i="6"/>
  <c r="I8" i="6" s="1"/>
  <c r="G7" i="6"/>
  <c r="B7" i="6"/>
  <c r="I7" i="6" s="1"/>
  <c r="G6" i="6"/>
  <c r="B6" i="6"/>
  <c r="I6" i="6" s="1"/>
  <c r="G5" i="6"/>
  <c r="B5" i="6"/>
  <c r="I5" i="6" s="1"/>
  <c r="G4" i="6"/>
  <c r="B4" i="6"/>
  <c r="I4" i="6" s="1"/>
  <c r="G3" i="6"/>
  <c r="B3" i="6"/>
  <c r="I3" i="6" s="1"/>
  <c r="G2" i="6"/>
  <c r="B2" i="6"/>
  <c r="I2" i="6" s="1"/>
  <c r="AC10" i="2"/>
  <c r="Y10" i="2"/>
  <c r="W10" i="2"/>
  <c r="U10" i="2"/>
  <c r="S10" i="2"/>
  <c r="Q10" i="2"/>
  <c r="O10" i="2"/>
  <c r="M10" i="2"/>
  <c r="K10" i="2"/>
  <c r="I10" i="2"/>
  <c r="G10" i="2"/>
  <c r="E10" i="2"/>
  <c r="C10" i="2"/>
  <c r="Y9" i="2"/>
  <c r="W9" i="2"/>
  <c r="AC9" i="2" s="1"/>
  <c r="U9" i="2"/>
  <c r="S9" i="2"/>
  <c r="Q9" i="2"/>
  <c r="O9" i="2"/>
  <c r="M9" i="2"/>
  <c r="K9" i="2"/>
  <c r="I9" i="2"/>
  <c r="G9" i="2"/>
  <c r="E9" i="2"/>
  <c r="C9" i="2"/>
  <c r="Y8" i="2"/>
  <c r="W8" i="2"/>
  <c r="U8" i="2"/>
  <c r="S8" i="2"/>
  <c r="Q8" i="2"/>
  <c r="O8" i="2"/>
  <c r="M8" i="2"/>
  <c r="K8" i="2"/>
  <c r="I8" i="2"/>
  <c r="G8" i="2"/>
  <c r="E8" i="2"/>
  <c r="C8" i="2"/>
  <c r="AC8" i="2" s="1"/>
  <c r="Y7" i="2"/>
  <c r="W7" i="2"/>
  <c r="U7" i="2"/>
  <c r="S7" i="2"/>
  <c r="Q7" i="2"/>
  <c r="O7" i="2"/>
  <c r="M7" i="2"/>
  <c r="K7" i="2"/>
  <c r="I7" i="2"/>
  <c r="G7" i="2"/>
  <c r="E7" i="2"/>
  <c r="C7" i="2"/>
  <c r="Y6" i="2"/>
  <c r="W6" i="2"/>
  <c r="U6" i="2"/>
  <c r="S6" i="2"/>
  <c r="Q6" i="2"/>
  <c r="O6" i="2"/>
  <c r="M6" i="2"/>
  <c r="K6" i="2"/>
  <c r="I6" i="2"/>
  <c r="G6" i="2"/>
  <c r="E6" i="2"/>
  <c r="C6" i="2"/>
  <c r="Y5" i="2"/>
  <c r="W5" i="2"/>
  <c r="U5" i="2"/>
  <c r="S5" i="2"/>
  <c r="Q5" i="2"/>
  <c r="O5" i="2"/>
  <c r="M5" i="2"/>
  <c r="K5" i="2"/>
  <c r="I5" i="2"/>
  <c r="G5" i="2"/>
  <c r="E5" i="2"/>
  <c r="C5" i="2"/>
  <c r="AC4" i="2"/>
  <c r="Y4" i="2"/>
  <c r="W4" i="2"/>
  <c r="U4" i="2"/>
  <c r="S4" i="2"/>
  <c r="Q4" i="2"/>
  <c r="O4" i="2"/>
  <c r="M4" i="2"/>
  <c r="K4" i="2"/>
  <c r="I4" i="2"/>
  <c r="G4" i="2"/>
  <c r="E4" i="2"/>
  <c r="C4" i="2"/>
  <c r="Y3" i="2"/>
  <c r="W3" i="2"/>
  <c r="U3" i="2"/>
  <c r="S3" i="2"/>
  <c r="Q3" i="2"/>
  <c r="O3" i="2"/>
  <c r="M3" i="2"/>
  <c r="K3" i="2"/>
  <c r="I3" i="2"/>
  <c r="G3" i="2"/>
  <c r="E3" i="2"/>
  <c r="C3" i="2"/>
  <c r="AC3" i="2" s="1"/>
  <c r="Y2" i="2"/>
  <c r="W2" i="2"/>
  <c r="U2" i="2"/>
  <c r="S2" i="2"/>
  <c r="Q2" i="2"/>
  <c r="O2" i="2"/>
  <c r="M2" i="2"/>
  <c r="K2" i="2"/>
  <c r="I2" i="2"/>
  <c r="G2" i="2"/>
  <c r="E2" i="2"/>
  <c r="C2" i="2"/>
  <c r="AC2" i="2" s="1"/>
  <c r="M10" i="8" l="1"/>
  <c r="N10" i="8"/>
  <c r="O10" i="8" s="1"/>
  <c r="M9" i="8"/>
  <c r="N9" i="8"/>
  <c r="O9" i="8" s="1"/>
  <c r="M8" i="8"/>
  <c r="N8" i="8" s="1"/>
  <c r="O8" i="8" s="1"/>
  <c r="M7" i="8"/>
  <c r="N7" i="8" s="1"/>
  <c r="O7" i="8" s="1"/>
  <c r="M6" i="8"/>
  <c r="N6" i="8" s="1"/>
  <c r="O6" i="8" s="1"/>
  <c r="M5" i="8"/>
  <c r="N5" i="8" s="1"/>
  <c r="O5" i="8" s="1"/>
  <c r="M4" i="8"/>
  <c r="N4" i="8" s="1"/>
  <c r="O4" i="8" s="1"/>
  <c r="AC7" i="2"/>
  <c r="AC5" i="2"/>
  <c r="I14" i="6"/>
  <c r="C5" i="7" s="1"/>
  <c r="AC6" i="2"/>
  <c r="C4" i="7" l="1"/>
  <c r="B8" i="7" s="1"/>
</calcChain>
</file>

<file path=xl/sharedStrings.xml><?xml version="1.0" encoding="utf-8"?>
<sst xmlns="http://schemas.openxmlformats.org/spreadsheetml/2006/main" count="1013" uniqueCount="450">
  <si>
    <t>Положение по оплате труда (ПОТ) — инструкция по заполнению шаблона</t>
  </si>
  <si>
    <t>Версия шаблона: 1.1. Для кого: сотрудники отдела C&amp;B (заполнение), команда Хранилища данных (загрузка и расчёт).</t>
  </si>
  <si>
    <t>1. Назначение</t>
  </si>
  <si>
    <t>Файл описывает ПОТ — набор премий переменной части ЗП и правила их расчёта.
Набор премий задаётся для сочетания пяти атрибутов сотрудника: ДЦ + ЦФО + подразделение + марка + должность.
Хранилище данных загружает файл как справочник ПОТ. Затем Хранилище считает премию каждому сотруднику по плановым и фактическим значениям KPI и % их выполнения.
Файл НЕ содержит данных по сотрудникам и фактических значений KPI. Эти данные хранятся в Хранилище.</t>
  </si>
  <si>
    <t>2. Термины</t>
  </si>
  <si>
    <t>Термин</t>
  </si>
  <si>
    <t>Значение</t>
  </si>
  <si>
    <t>ПОТ</t>
  </si>
  <si>
    <t>Одна строка листа ПОТ_Премии: одна премия для одного сочетания атрибутов на период действия.</t>
  </si>
  <si>
    <t>код_ПОТ</t>
  </si>
  <si>
    <t>Уникальный код строки ПОТ. Формат: ПОТ-NNN. Не меняется после загрузки в Хранилище.</t>
  </si>
  <si>
    <t>KPI_расчёта</t>
  </si>
  <si>
    <t>Показатель, который умножается на множитель. Это может быть факт KPI, план KPI или плановое значение премии.</t>
  </si>
  <si>
    <t>KPI_шкалы</t>
  </si>
  <si>
    <t>Показатель, по значению которого выбирается ступень шкалы. Обычно это факт KPI или % выполнения плана.</t>
  </si>
  <si>
    <t>Тип значения</t>
  </si>
  <si>
    <t>Какое значение KPI брать из Хранилища: Факт, План или % выполнения плана.</t>
  </si>
  <si>
    <t>Шкала</t>
  </si>
  <si>
    <t>Набор ступеней. Одну шкалу можно использовать в нескольких строках ПОТ.</t>
  </si>
  <si>
    <t>Ступень</t>
  </si>
  <si>
    <t>Диапазон значений KPI_шкалы и множитель для этого диапазона.</t>
  </si>
  <si>
    <t>Множитель</t>
  </si>
  <si>
    <t>Число, на которое умножается KPI_расчёта. Задаётся в ступени шкалы.</t>
  </si>
  <si>
    <t>Справочник</t>
  </si>
  <si>
    <t>Список допустимых значений с кодами (ДЦ, ЦФО, KPI и т.д.). Источник — Хранилище / SAP HR.</t>
  </si>
  <si>
    <t>3. Формула расчёта премии</t>
  </si>
  <si>
    <t>Премия = значение KPI_расчёта × Множитель</t>
  </si>
  <si>
    <t>Порядок расчёта:
1) Хранилище берёт значение KPI_шкалы (X) нужного типа за период.
2) Хранилище находит ступень шкалы, для которой: значение_от ≤ X &lt; значение_до. Если значение_до пусто, верхней границы нет.
3) Если тип множителя = «Число», множитель берётся из столбца «множитель». Если тип = «Значение KPI шкалы», множитель = X.
4) Премия = значение KPI_расчёта × множитель. Переменная часть ЗП = сумма премий сотрудника за период.</t>
  </si>
  <si>
    <t>Примеры (по условиям задания)</t>
  </si>
  <si>
    <t>Премия</t>
  </si>
  <si>
    <t>KPI_шкалы (X)</t>
  </si>
  <si>
    <t>Расчёт</t>
  </si>
  <si>
    <t>Премия за количество новых АМ</t>
  </si>
  <si>
    <t>Кол-во проданных АМ, факт = 10</t>
  </si>
  <si>
    <t>6 ≤ 10 &lt; 15 → 15 000</t>
  </si>
  <si>
    <t>10 × 15 000 = 150 000</t>
  </si>
  <si>
    <t>Премия за кумулятивную маржу</t>
  </si>
  <si>
    <t>Кумулятивная маржа, факт = 12 000 000</t>
  </si>
  <si>
    <t>Кол-во проданных АМ, факт = 12</t>
  </si>
  <si>
    <t>6 ≤ 12 &lt; 15 → 0,04</t>
  </si>
  <si>
    <t>12 000 000 × 0,04 = 480 000</t>
  </si>
  <si>
    <t>Премия за маржу сервиса</t>
  </si>
  <si>
    <t>Маржа сервиса, факт = 800 000</t>
  </si>
  <si>
    <t>% выполнения плана маржи = 95 %</t>
  </si>
  <si>
    <t>80 % ≤ 95 % &lt; 120 % → множитель = X = 0,95</t>
  </si>
  <si>
    <t>800 000 × 0,95 = 760 000</t>
  </si>
  <si>
    <t>Премия за КВ фин. услуг</t>
  </si>
  <si>
    <t>Плановая премия за КВ, план = 50 000</t>
  </si>
  <si>
    <t>% выполнения плана КВ = 76 %</t>
  </si>
  <si>
    <t>0 ≤ 76 % &lt; 80 % → 0,5</t>
  </si>
  <si>
    <t>50 000 × 0,5 = 25 000</t>
  </si>
  <si>
    <t>4. Структура файла</t>
  </si>
  <si>
    <t>Лист</t>
  </si>
  <si>
    <t>Назначение</t>
  </si>
  <si>
    <t>Кто заполняет</t>
  </si>
  <si>
    <t>Читает ETL</t>
  </si>
  <si>
    <t>Примечание</t>
  </si>
  <si>
    <t>Инструкция</t>
  </si>
  <si>
    <t>Этот документ.</t>
  </si>
  <si>
    <t>—</t>
  </si>
  <si>
    <t>Нет</t>
  </si>
  <si>
    <t>ПОТ_Премии</t>
  </si>
  <si>
    <t>Основная таблица: премии для сочетаний атрибутов.</t>
  </si>
  <si>
    <t>C&amp;B</t>
  </si>
  <si>
    <t>Да (pot_bonus)</t>
  </si>
  <si>
    <t>Столбцы с кодами скрыты.</t>
  </si>
  <si>
    <t>Справочники</t>
  </si>
  <si>
    <t>10 справочников с кодами.</t>
  </si>
  <si>
    <t>Хранилище / администратор</t>
  </si>
  <si>
    <t>Да (ref_*), для сверки</t>
  </si>
  <si>
    <t>C&amp;B не меняет. Новое значение — заявка в Хранилище.</t>
  </si>
  <si>
    <t>Шкалы</t>
  </si>
  <si>
    <t>Список шкал.</t>
  </si>
  <si>
    <t>Да (scale)</t>
  </si>
  <si>
    <t>Шкалы_ступени</t>
  </si>
  <si>
    <t>Ступени всех шкал.</t>
  </si>
  <si>
    <t>Да (scale_step)</t>
  </si>
  <si>
    <t>Проверки</t>
  </si>
  <si>
    <t>Итог проверок. Должно быть «ДА».</t>
  </si>
  <si>
    <t>— (авто)</t>
  </si>
  <si>
    <t>Описание_полей</t>
  </si>
  <si>
    <t>Описание каждого столбца: тип, правило, пример.</t>
  </si>
  <si>
    <t>Пример_расчёта</t>
  </si>
  <si>
    <t>Демонстрация расчёта по сотрудникам.</t>
  </si>
  <si>
    <t>Только для понимания. Можно менять для проверки шкал.</t>
  </si>
  <si>
    <t>5. Общие правила</t>
  </si>
  <si>
    <t>Правило</t>
  </si>
  <si>
    <t>Почему</t>
  </si>
  <si>
    <t>Вводите данные только в жёлтые ячейки. Серые ячейки считаются автоматически.</t>
  </si>
  <si>
    <t>Серые ячейки содержат формулы кодов и проверок.</t>
  </si>
  <si>
    <t>Выбирайте значения из выпадающих списков. Не вводите текст вручную.</t>
  </si>
  <si>
    <t>ETL связывает таблицы по кодам. Опечатка = значение не найдено.</t>
  </si>
  <si>
    <t>Новую строку добавляйте сразу под последней строкой таблицы. Таблица расширится сама.</t>
  </si>
  <si>
    <t>Строки вне таблицы ETL не читает.</t>
  </si>
  <si>
    <t>Не оставляйте пустые строки внутри таблицы.</t>
  </si>
  <si>
    <t>Пустая строка = ошибка загрузки.</t>
  </si>
  <si>
    <t>Не переименовывайте листы, таблицы и столбцы. Не вставляйте и не удаляйте столбцы.</t>
  </si>
  <si>
    <t>ETL читает таблицы по именам.</t>
  </si>
  <si>
    <t>Не объединяйте ячейки. Не используйте цвет как данные.</t>
  </si>
  <si>
    <t>Цвет и объединения ETL не видит.</t>
  </si>
  <si>
    <t>Копируйте данные через «Вставить → Значения» (Ctrl+Alt+V → Значения).</t>
  </si>
  <si>
    <t>Обычная вставка удаляет выпадающие списки и формат.</t>
  </si>
  <si>
    <t>Даты — в формате ДД.ММ.ГГГГ. Проценты — с символом %: 80 %.</t>
  </si>
  <si>
    <t>80 % хранится как 0,8. Число 80 без % = 8000 %.</t>
  </si>
  <si>
    <t>Не удаляйте строки ПОТ, которые уже загружены в Хранилище. Закрывайте их датой окончания.</t>
  </si>
  <si>
    <t>Хранилище хранит историю ПОТ.</t>
  </si>
  <si>
    <t>Перед отправкой файла лист «Проверки» должен показывать «ДА».</t>
  </si>
  <si>
    <t>Файл с ошибками не загружается.</t>
  </si>
  <si>
    <t>6. Порядок заполнения: новый ПОТ</t>
  </si>
  <si>
    <t>Шаг 1. Проверьте справочники</t>
  </si>
  <si>
    <t>Откройте лист «Справочники». Найдите нужные ДЦ, ЦФО, подразделение, марку, должность, вид премии и KPI.
Если значения нет — отправьте заявку в команду Хранилища. Не добавляйте значения сами: код должен совпадать с кодом в Хранилище.</t>
  </si>
  <si>
    <t>Шаг 2. Создайте шкалу (если нужной нет)</t>
  </si>
  <si>
    <t>Лист «Шкалы» → новая строка под таблицей:
• код_шкалы — следующий свободный код: SC-005, SC-006 …
• шкала — короткое понятное название. Формат: «Аргумент → что даёт». Пример: «% вып. плана маржи сервиса → коэффициент».
• описание — какой KPI является аргументом и в каких единицах.
Если подходящая шкала уже есть, используйте её. Новая шкала нужна, только если ступени или множители другие.</t>
  </si>
  <si>
    <t>Шаг 3. Задайте ступени шкалы</t>
  </si>
  <si>
    <t>Лист «Шкалы_ступени» → одна строка на ступень:
• шкала — выберите из списка.
• номер_ступени — 1, 2, 3 … по возрастанию границ.
• значение_от — нижняя граница, ВКЛЮЧАЕТСЯ в ступень.
• значение_до — верхняя граница, НЕ включается. Для последней ступени оставьте пусто (без верхней границы).
• значение_до ступени N = значение_от ступени N+1. Иначе будет разрыв или пересечение.
• тип_множителя — «Число» или «Значение KPI шкалы».
• множитель — число, если тип «Число». Пусто, если тип «Значение KPI шкалы».</t>
  </si>
  <si>
    <t>Пример: условие задания «от 0 до 2 шт – 0; от 3 до 5 шт – 10 000; от 6 до 15 шт – 15 000; от 15 шт и выше – 17 000»</t>
  </si>
  <si>
    <t>номер_ступени</t>
  </si>
  <si>
    <t>значение_от</t>
  </si>
  <si>
    <t>значение_до</t>
  </si>
  <si>
    <t>тип_множителя</t>
  </si>
  <si>
    <t>множитель</t>
  </si>
  <si>
    <t>Смысл</t>
  </si>
  <si>
    <t>Число</t>
  </si>
  <si>
    <t>0, 1, 2 шт</t>
  </si>
  <si>
    <t>3, 4, 5 шт</t>
  </si>
  <si>
    <t>6 … 14 шт</t>
  </si>
  <si>
    <t>(пусто)</t>
  </si>
  <si>
    <t>15 шт и больше</t>
  </si>
  <si>
    <t>Шаг 4. Заполните строку ПОТ</t>
  </si>
  <si>
    <t>Лист «ПОТ_Премии» → одна строка = одна премия для одного сочетания атрибутов:
• код_ПОТ — следующий свободный код: ПОТ-010, ПОТ-011 … Код не используется повторно.
• ДЦ, ЦФО, подразделение, марка, должность — сочетание атрибутов сотрудника. Если у подразделения нет профильной марки — «Не определена».
• вид_премии, периодичность — из списков.
• KPI_расчёта + тип_значения_KPI_расчёта — что умножаем.
• KPI_шкалы + тип_значения_KPI_шкалы — по чему выбираем ступень.
• шкала — из списка.
• дата_начала — с какой даты действует правило. дата_окончания — пусто, если правило бессрочное.
Если одна премия действует для нескольких ДЦ или марок — создайте строку для каждого сочетания. Шкалу можно использовать одну.</t>
  </si>
  <si>
    <t>Шаг 5. Проверьте</t>
  </si>
  <si>
    <t>• Столбец «проверка» в каждой строке должен показывать «ОК» (зелёный).
• Лист «Проверки» → «Файл готов к загрузке: ДА».
• Для контроля шкалы введите тестовые значения на листе «Пример_расчёта».</t>
  </si>
  <si>
    <t>Шаг 6. Сохраните и отправьте</t>
  </si>
  <si>
    <t>Сохраните файл в Excel (не в другом приложении): Excel записывает вычисленные коды, которые читает ETL.
Имя файла: ПОТ_ГГГГ-ММ-ДД.xlsx. Отправьте файл по согласованному каналу загрузки.</t>
  </si>
  <si>
    <t>7. Типовые операции</t>
  </si>
  <si>
    <t>Задача</t>
  </si>
  <si>
    <t>Что сделать</t>
  </si>
  <si>
    <t>Изменить множитель или границы шкалы с новой даты</t>
  </si>
  <si>
    <t>1) Создайте новую шкалу с новыми ступенями. 2) У старых строк ПОТ укажите дата_окончания. 3) Добавьте новые строки ПОТ с новыми кодами, новой шкалой и дата_начала. Старую шкалу не меняйте — она нужна для пересчёта прошлых периодов.</t>
  </si>
  <si>
    <t>Исправить ошибку в ещё не загруженной строке</t>
  </si>
  <si>
    <t>Исправьте значение в строке.</t>
  </si>
  <si>
    <t>Отменить премию</t>
  </si>
  <si>
    <t>Укажите дата_окончания. Строку не удаляйте.</t>
  </si>
  <si>
    <t>Добавить премию для новой должности / ДЦ / марки</t>
  </si>
  <si>
    <t>Проверьте справочник (шаг 1). Добавьте строку ПОТ (шаг 4). Шкалу можно взять существующую.</t>
  </si>
  <si>
    <t>Новый вид премии или новый KPI</t>
  </si>
  <si>
    <t>Заявка в команду Хранилища на добавление в справочник. После добавления — шаги 2–6.</t>
  </si>
  <si>
    <t>Одна премия зависит от двух KPI</t>
  </si>
  <si>
    <t>Используйте KPI_расчёта и KPI_шкалы. Пример: маржа × множитель по кол-ву АМ.</t>
  </si>
  <si>
    <t>Множитель = % выполнения</t>
  </si>
  <si>
    <t>Тип множителя «Значение KPI шкалы». KPI_шкалы — с типом «% выполнения плана».</t>
  </si>
  <si>
    <t>8. Сообщения проверки и действия</t>
  </si>
  <si>
    <t>Сообщение</t>
  </si>
  <si>
    <t>Причина</t>
  </si>
  <si>
    <t>Действие</t>
  </si>
  <si>
    <t>Дубль код_ПОТ</t>
  </si>
  <si>
    <t>Код уже есть в другой строке.</t>
  </si>
  <si>
    <t>Задайте новый код.</t>
  </si>
  <si>
    <t>Не заполнены обязательные поля</t>
  </si>
  <si>
    <t>Пусто в одном из столбцов ДЦ … дата_начала.</t>
  </si>
  <si>
    <t>Заполните все жёлтые ячейки, кроме дата_окончания и комментарий.</t>
  </si>
  <si>
    <t>Значение не найдено в справочнике</t>
  </si>
  <si>
    <t>Значение введено вручную или удалено из справочника.</t>
  </si>
  <si>
    <t>Выберите значение из списка.</t>
  </si>
  <si>
    <t>дата_окончания раньше дата_начала</t>
  </si>
  <si>
    <t>Даты перепутаны.</t>
  </si>
  <si>
    <t>Исправьте даты.</t>
  </si>
  <si>
    <t>У шкалы нет ступеней</t>
  </si>
  <si>
    <t>Шкала создана, ступени не заданы.</t>
  </si>
  <si>
    <t>Добавьте ступени на листе Шкалы_ступени.</t>
  </si>
  <si>
    <t>Пересечение со строкой с тем же набором атрибутов</t>
  </si>
  <si>
    <t>Две строки с одной премией и одним сочетанием атрибутов действуют в одни даты.</t>
  </si>
  <si>
    <t>Закройте старую строку датой окончания или удалите дубль.</t>
  </si>
  <si>
    <t>Шкала не найдена</t>
  </si>
  <si>
    <t>Шкалы нет на листе Шкалы.</t>
  </si>
  <si>
    <t>Создайте шкалу или выберите из списка.</t>
  </si>
  <si>
    <t>Пусто в шкала / номер / значение_от / тип.</t>
  </si>
  <si>
    <t>Заполните поля.</t>
  </si>
  <si>
    <t>Не указан множитель</t>
  </si>
  <si>
    <t>Тип «Число», множитель пуст.</t>
  </si>
  <si>
    <t>Введите множитель.</t>
  </si>
  <si>
    <t>Множитель должен быть пустым</t>
  </si>
  <si>
    <t>Тип «Значение KPI шкалы», множитель заполнен.</t>
  </si>
  <si>
    <t>Очистите множитель.</t>
  </si>
  <si>
    <t>Дубль номера ступени</t>
  </si>
  <si>
    <t>Два одинаковых номера в одной шкале.</t>
  </si>
  <si>
    <t>Перенумеруйте ступени.</t>
  </si>
  <si>
    <t>значение_до &lt;= значение_от</t>
  </si>
  <si>
    <t>Верхняя граница не больше нижней.</t>
  </si>
  <si>
    <t>Исправьте границы.</t>
  </si>
  <si>
    <t>Пересечение диапазонов</t>
  </si>
  <si>
    <t>Диапазоны ступеней накладываются.</t>
  </si>
  <si>
    <t>значение_до ступени = значение_от следующей.</t>
  </si>
  <si>
    <t>Разрыв после значения N</t>
  </si>
  <si>
    <t>Нет ступени, которая начинается с N.</t>
  </si>
  <si>
    <t>Добавьте ступень или исправьте границу.</t>
  </si>
  <si>
    <t>9. Контракт для ETL (для команды Хранилища)</t>
  </si>
  <si>
    <t>ETL читает именованные таблицы Excel (ListObject), а не листы и не диапазоны. Первая строка таблицы — заголовки. Загружать файл только при «Проверки» = «ДА». Столбец «проверка» и столбцы с названиями (не кодами) не загружаются.</t>
  </si>
  <si>
    <t>Таблица</t>
  </si>
  <si>
    <t>Ключ</t>
  </si>
  <si>
    <t>Загружаемые столбцы</t>
  </si>
  <si>
    <t>Связи</t>
  </si>
  <si>
    <t>pot_bonus</t>
  </si>
  <si>
    <t>код_ПОТ, код_ДЦ, код_ЦФО, код_подразделения, код_марки, код_должности, код_вида_премии, код_периодичности, код_KPI_расчёта, код_типа_KPI_расчёта, код_KPI_шкалы, код_типа_KPI_шкалы, код_шкалы, дата_начала, дата_окончания, комментарий</t>
  </si>
  <si>
    <t>код_* → ref_*; код_шкалы → scale</t>
  </si>
  <si>
    <t>scale</t>
  </si>
  <si>
    <t>код_шкалы</t>
  </si>
  <si>
    <t>код_шкалы, шкала, описание</t>
  </si>
  <si>
    <t>scale_step</t>
  </si>
  <si>
    <t>код_шкалы + номер_ступени</t>
  </si>
  <si>
    <t>код_шкалы, номер_ступени, значение_от, значение_до, код_типа_множителя, множитель</t>
  </si>
  <si>
    <t>код_шкалы → scale</t>
  </si>
  <si>
    <t>ref_dc, ref_cfo, ref_dept, ref_brand, ref_position, ref_bonus_type, ref_kpi, ref_period, ref_value_type, ref_mult_type</t>
  </si>
  <si>
    <t>код_*</t>
  </si>
  <si>
    <t>все</t>
  </si>
  <si>
    <t>Сверка с НСИ Хранилища</t>
  </si>
  <si>
    <t>Алгоритм расчёта в Хранилище</t>
  </si>
  <si>
    <t>1) Для сотрудника на дату периода взять: код_ДЦ, код_ЦФО, код_подразделения, код_марки, код_должности.
2) Выбрать строки pot_bonus с теми же кодами, где дата_начала ≤ дата периода и (дата_окончания пусто или ≥ дата периода), и код_периодичности = тип расчётного периода.
3) Взять значения KPI: код_KPI_расчёта с типом код_типа_KPI_расчёта; код_KPI_шкалы с типом код_типа_KPI_шкалы (FACT / PLAN / PCT; PCT — доля, 0,8 = 80 %).
4) Найти ступень scale_step: код_шкалы, значение_от ≤ X &lt; значение_до (NULL = +∞).
5) Множитель: CONST → множитель; KPI_SCALE → X.
6) Премия = значение KPI_расчёта × множитель. Нет значения KPI → премия не считается, запись в журнал ошибок.
7) Переменная часть ЗП = Σ премий сотрудника за период.</t>
  </si>
  <si>
    <t>10. Допущения и открытые вопросы</t>
  </si>
  <si>
    <t>№</t>
  </si>
  <si>
    <t>Вопрос</t>
  </si>
  <si>
    <t>Принятое решение</t>
  </si>
  <si>
    <t>Коды ДЦ, ЦФО, подразделений, марок, должностей, KPI.</t>
  </si>
  <si>
    <t>В шаблоне условные коды. Заменить на коды SAP HR / Хранилища.</t>
  </si>
  <si>
    <t>В задании границы шкал пересекаются: «от 6 до 15» и «от 15 и выше».</t>
  </si>
  <si>
    <t>15 относится к верхней ступени: 6 ≤ x &lt; 15; x ≥ 15. Подтвердить у бизнеса.</t>
  </si>
  <si>
    <t>Марка — атрибут подразделения или сотрудника? У сотрудника может быть несколько марок?</t>
  </si>
  <si>
    <t>Марка — один атрибут сочетания. «Не определена» — отдельное значение. Если ПОТ одинаков для всех марок, можно ввести значение «ВСЕ» — обсудить.</t>
  </si>
  <si>
    <t>ЦФО — где находится, связан ли с ДЦ?</t>
  </si>
  <si>
    <t>ЦФО — независимый атрибут сочетания. Уточнить у C&amp;B.</t>
  </si>
  <si>
    <t>Связана ли должность с подразделением?</t>
  </si>
  <si>
    <t>В шаблоне не связана: сочетание задаётся явно в каждой строке.</t>
  </si>
  <si>
    <t>Формат % выполнения в Хранилище.</t>
  </si>
  <si>
    <t>Принято: доля (0,8 = 80 %). Если хранится как 80 — пересчитать границы шкал.</t>
  </si>
  <si>
    <t>Совпадение периодичности ПОТ и периода KPI.</t>
  </si>
  <si>
    <t>Квартальная премия считается по квартальным значениям KPI. Уточнить у Хранилища.</t>
  </si>
  <si>
    <t>11. История версий</t>
  </si>
  <si>
    <t>Версия</t>
  </si>
  <si>
    <t>Дата</t>
  </si>
  <si>
    <t>Изменения</t>
  </si>
  <si>
    <t>1.0</t>
  </si>
  <si>
    <t>11.10.2026</t>
  </si>
  <si>
    <t>Первая версия структуры.</t>
  </si>
  <si>
    <t>1.1</t>
  </si>
  <si>
    <t>Расширенная инструкция, лист Описание_полей.</t>
  </si>
  <si>
    <t>ДЦ</t>
  </si>
  <si>
    <t>код_ДЦ</t>
  </si>
  <si>
    <t>ЦФО</t>
  </si>
  <si>
    <t>код_ЦФО</t>
  </si>
  <si>
    <t>подразделение</t>
  </si>
  <si>
    <t>код_подразделения</t>
  </si>
  <si>
    <t>марка</t>
  </si>
  <si>
    <t>код_марки</t>
  </si>
  <si>
    <t>должность</t>
  </si>
  <si>
    <t>код_должности</t>
  </si>
  <si>
    <t>вид_премии</t>
  </si>
  <si>
    <t>код_вида_премии</t>
  </si>
  <si>
    <t>периодичность</t>
  </si>
  <si>
    <t>код_периодичности</t>
  </si>
  <si>
    <t>код_KPI_расчёта</t>
  </si>
  <si>
    <t>тип_значения_KPI_расчёта</t>
  </si>
  <si>
    <t>код_типа_KPI_расчёта</t>
  </si>
  <si>
    <t>код_KPI_шкалы</t>
  </si>
  <si>
    <t>тип_значения_KPI_шкалы</t>
  </si>
  <si>
    <t>код_типа_KPI_шкалы</t>
  </si>
  <si>
    <t>шкала</t>
  </si>
  <si>
    <t>дата_начала</t>
  </si>
  <si>
    <t>дата_окончания</t>
  </si>
  <si>
    <t>комментарий</t>
  </si>
  <si>
    <t>проверка</t>
  </si>
  <si>
    <t>ПОТ-001</t>
  </si>
  <si>
    <t>ДЦ Север</t>
  </si>
  <si>
    <t>Продажи новых АМ</t>
  </si>
  <si>
    <t>Отдел продаж новых АМ</t>
  </si>
  <si>
    <t>Haval</t>
  </si>
  <si>
    <t>Менеджер по продажам новых АМ</t>
  </si>
  <si>
    <t>Ежемесячно</t>
  </si>
  <si>
    <t>Кол-во проданных новых АМ</t>
  </si>
  <si>
    <t>Факт</t>
  </si>
  <si>
    <t>Кол-во новых АМ → сумма за 1 АМ</t>
  </si>
  <si>
    <t>ПОТ-002</t>
  </si>
  <si>
    <t>Премия за кумулятивную маржу при продаже новых АМ</t>
  </si>
  <si>
    <t>Кумулятивная маржа при продаже новых АМ</t>
  </si>
  <si>
    <t>Кол-во новых АМ → доля кумулятивной маржи</t>
  </si>
  <si>
    <t>ПОТ-003</t>
  </si>
  <si>
    <t>Chery</t>
  </si>
  <si>
    <t>ПОТ-004</t>
  </si>
  <si>
    <t>ПОТ-005</t>
  </si>
  <si>
    <t>ДЦ Юг</t>
  </si>
  <si>
    <t>Geely</t>
  </si>
  <si>
    <t>ПОТ-006</t>
  </si>
  <si>
    <t>Сервис</t>
  </si>
  <si>
    <t>Сервисный центр</t>
  </si>
  <si>
    <t>Мастер-консультант</t>
  </si>
  <si>
    <t>Премия за маржу от продажи сервисных услуг</t>
  </si>
  <si>
    <t>Маржа от продажи сервисных услуг</t>
  </si>
  <si>
    <t>% выполнения плана</t>
  </si>
  <si>
    <t>% вып. плана маржи сервиса → коэффициент</t>
  </si>
  <si>
    <t>ПОТ-007</t>
  </si>
  <si>
    <t>Не определена</t>
  </si>
  <si>
    <t>ПОТ-008</t>
  </si>
  <si>
    <t>Финансовые услуги</t>
  </si>
  <si>
    <t>Отдел кредитования и страхования</t>
  </si>
  <si>
    <t>Менеджер по кредитованию и страхованию</t>
  </si>
  <si>
    <t>Премия за КВ от продажи финансовых услуг</t>
  </si>
  <si>
    <t>Ежеквартально</t>
  </si>
  <si>
    <t>План</t>
  </si>
  <si>
    <t>КВ от продажи финансовых услуг</t>
  </si>
  <si>
    <t>% вып. плана КВ фин. услуг → коэффициент</t>
  </si>
  <si>
    <t>ПОТ-009</t>
  </si>
  <si>
    <t>ДЦ Запад</t>
  </si>
  <si>
    <t>Столбец</t>
  </si>
  <si>
    <t>Заполняет</t>
  </si>
  <si>
    <t>Обязательный</t>
  </si>
  <si>
    <t>Тип / формат</t>
  </si>
  <si>
    <t>Пример</t>
  </si>
  <si>
    <t>В ETL</t>
  </si>
  <si>
    <t>Пользователь</t>
  </si>
  <si>
    <t>Да</t>
  </si>
  <si>
    <t>Текст</t>
  </si>
  <si>
    <t>Уникальный. Формат ПОТ-NNN. Не менять после загрузки. Не использовать повторно.</t>
  </si>
  <si>
    <t>ПОТ-010</t>
  </si>
  <si>
    <t>Текст, список</t>
  </si>
  <si>
    <t>Выбор из справочника ref (ДЦ).</t>
  </si>
  <si>
    <t>Авто</t>
  </si>
  <si>
    <t>Код из справочника. Скрытый столбец.</t>
  </si>
  <si>
    <t>DC-01</t>
  </si>
  <si>
    <t>Выбор из справочника ref (ЦФО).</t>
  </si>
  <si>
    <t>CFO-01</t>
  </si>
  <si>
    <t>Выбор из справочника ref (подразделение).</t>
  </si>
  <si>
    <t>DEP-01</t>
  </si>
  <si>
    <t>Выбор из справочника ref (марка).</t>
  </si>
  <si>
    <t>Haval / Не определена</t>
  </si>
  <si>
    <t>BR-01</t>
  </si>
  <si>
    <t>Выбор из справочника ref (должность).</t>
  </si>
  <si>
    <t>POS-001</t>
  </si>
  <si>
    <t>Выбор из справочника ref (вид_премии).</t>
  </si>
  <si>
    <t>BT-001</t>
  </si>
  <si>
    <t>Выбор из справочника ref (периодичность).</t>
  </si>
  <si>
    <t>MONTH</t>
  </si>
  <si>
    <t>KPI, значение которого умножается на множитель.</t>
  </si>
  <si>
    <t>Код KPI в Хранилище.</t>
  </si>
  <si>
    <t>KPI-002</t>
  </si>
  <si>
    <t>Факт / План / % выполнения плана.</t>
  </si>
  <si>
    <t>FACT / PLAN / PCT.</t>
  </si>
  <si>
    <t>FACT</t>
  </si>
  <si>
    <t>KPI, по значению которого выбирается ступень. Может совпадать с KPI_расчёта.</t>
  </si>
  <si>
    <t>KPI-001</t>
  </si>
  <si>
    <t>Название шкалы с листа Шкалы.</t>
  </si>
  <si>
    <t>Код шкалы.</t>
  </si>
  <si>
    <t>SC-002</t>
  </si>
  <si>
    <t>Дата ДД.ММ.ГГГГ</t>
  </si>
  <si>
    <t>Первый день действия правила.</t>
  </si>
  <si>
    <t>01.01.2026</t>
  </si>
  <si>
    <t>Последний день действия. Пусто = бессрочно. Не раньше дата_начала.</t>
  </si>
  <si>
    <t>31.12.2026</t>
  </si>
  <si>
    <t>Основание: номер приказа, ссылка на документ.</t>
  </si>
  <si>
    <t>Приказ №123 от 01.12.2025</t>
  </si>
  <si>
    <t>«ОК» или текст ошибки (см. Инструкция, раздел 8).</t>
  </si>
  <si>
    <t>ОК</t>
  </si>
  <si>
    <t>Уникальный. Формат SC-NNN.</t>
  </si>
  <si>
    <t>SC-005</t>
  </si>
  <si>
    <t>Уникальное понятное название: «Аргумент → что даёт».</t>
  </si>
  <si>
    <t>% вып. плана → коэффициент</t>
  </si>
  <si>
    <t>описание</t>
  </si>
  <si>
    <t>Какой KPI — аргумент, в каких единицах.</t>
  </si>
  <si>
    <t>Аргумент — % выполнения плана</t>
  </si>
  <si>
    <t>SC-001</t>
  </si>
  <si>
    <t>Целое ≥ 1</t>
  </si>
  <si>
    <t>Уникален внутри шкалы. По возрастанию границ.</t>
  </si>
  <si>
    <t>3</t>
  </si>
  <si>
    <t>Число ≥ 0 или %</t>
  </si>
  <si>
    <t>Нижняя граница, включается.</t>
  </si>
  <si>
    <t>6 или 80 %</t>
  </si>
  <si>
    <t>Число или %</t>
  </si>
  <si>
    <t>Верхняя граница, не включается. Пусто = без верхней границы. = значение_от следующей ступени.</t>
  </si>
  <si>
    <t>15 или 120 %</t>
  </si>
  <si>
    <t>Число / Значение KPI шкалы.</t>
  </si>
  <si>
    <t>код_типа_множителя</t>
  </si>
  <si>
    <t>CONST / KPI_SCALE.</t>
  </si>
  <si>
    <t>CONST</t>
  </si>
  <si>
    <t>Если тип = Число</t>
  </si>
  <si>
    <t>Число ≥ 0</t>
  </si>
  <si>
    <t>Сумма за единицу KPI, доля или коэффициент. Пусто при типе «Значение KPI шкалы».</t>
  </si>
  <si>
    <t>15000 / 0,04 / 1,2</t>
  </si>
  <si>
    <t>«ОК» или текст ошибки.</t>
  </si>
  <si>
    <t>код_* (все таблицы ref_*)</t>
  </si>
  <si>
    <t>Хранилище</t>
  </si>
  <si>
    <t>Код НСИ Хранилища / SAP HR. Уникальный.</t>
  </si>
  <si>
    <t>название (все таблицы ref_*)</t>
  </si>
  <si>
    <t>Значение, которое видит пользователь в списках. Уникальное.</t>
  </si>
  <si>
    <t>ед_изм (ref_kpi)</t>
  </si>
  <si>
    <t>Единица измерения KPI.</t>
  </si>
  <si>
    <t>руб</t>
  </si>
  <si>
    <t>Справочники. Источник — Хранилище / SAP HR. Бизнес-пользователь их не меняет. Коды — условные, заменить на коды Хранилища.</t>
  </si>
  <si>
    <t>код_KPI</t>
  </si>
  <si>
    <t>KPI</t>
  </si>
  <si>
    <t>ед_изм</t>
  </si>
  <si>
    <t>код_типа_значения</t>
  </si>
  <si>
    <t>тип_значения</t>
  </si>
  <si>
    <t>BR-00</t>
  </si>
  <si>
    <t>шт</t>
  </si>
  <si>
    <t>DC-02</t>
  </si>
  <si>
    <t>CFO-02</t>
  </si>
  <si>
    <t>DEP-02</t>
  </si>
  <si>
    <t>POS-002</t>
  </si>
  <si>
    <t>BT-002</t>
  </si>
  <si>
    <t>QUARTER</t>
  </si>
  <si>
    <t>PLAN</t>
  </si>
  <si>
    <t>KPI_SCALE</t>
  </si>
  <si>
    <t>Значение KPI шкалы</t>
  </si>
  <si>
    <t>DC-03</t>
  </si>
  <si>
    <t>CFO-03</t>
  </si>
  <si>
    <t>DEP-03</t>
  </si>
  <si>
    <t>BR-02</t>
  </si>
  <si>
    <t>POS-003</t>
  </si>
  <si>
    <t>BT-003</t>
  </si>
  <si>
    <t>KPI-003</t>
  </si>
  <si>
    <t>YEAR</t>
  </si>
  <si>
    <t>Ежегодно</t>
  </si>
  <si>
    <t>PCT</t>
  </si>
  <si>
    <t>BR-03</t>
  </si>
  <si>
    <t>BT-004</t>
  </si>
  <si>
    <t>KPI-004</t>
  </si>
  <si>
    <t>KPI-005</t>
  </si>
  <si>
    <t>Аргумент — кол-во проданных новых АМ, шт</t>
  </si>
  <si>
    <t>SC-003</t>
  </si>
  <si>
    <t>SC-004</t>
  </si>
  <si>
    <t>Проверка перед передачей файла в ETL</t>
  </si>
  <si>
    <t>Строк</t>
  </si>
  <si>
    <t>Ошибок</t>
  </si>
  <si>
    <t>Шкалы без ПОТ</t>
  </si>
  <si>
    <t>Файл готов к загрузке</t>
  </si>
  <si>
    <t>«Шкалы без ПОТ» — предупреждение, загрузку не блокирует.</t>
  </si>
  <si>
    <t>Пример расчёта премии по сотрудникам. НЕ источник ETL — показывает, как Хранилище применит ПОТ к значениям KPI. Желтые ячейки — значения KPI (в Хранилище они берутся из фактов KPI).</t>
  </si>
  <si>
    <t>период</t>
  </si>
  <si>
    <t>фио_сотрудника</t>
  </si>
  <si>
    <t>значение_KPI_расчёта</t>
  </si>
  <si>
    <t>значение_KPI_шкалы</t>
  </si>
  <si>
    <t>премия_руб</t>
  </si>
  <si>
    <t>2026-09</t>
  </si>
  <si>
    <t>Иванов Алексей Петрович</t>
  </si>
  <si>
    <t>2026-10</t>
  </si>
  <si>
    <t>2026-11</t>
  </si>
  <si>
    <t>Смирнова Елена Сергеевна</t>
  </si>
  <si>
    <t>2026-12</t>
  </si>
  <si>
    <t>Морозова Анна Павловна</t>
  </si>
  <si>
    <t>2026-Q3</t>
  </si>
  <si>
    <t>Петров Игорь Владимирович</t>
  </si>
  <si>
    <t>Лебедев Константин Юрьевич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</si>
</sst>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6" formatCode="dd\.mm\.yyyy"/>
    <numFmt numFmtId="167" formatCode="#,##0.##"/>
  </numFmts>
  <fonts count="11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sz val="10"/>
      <color rgb="FF595959"/>
      <name val="Arial"/>
    </font>
    <font>
      <b/>
      <sz val="12"/>
      <name val="Arial"/>
    </font>
    <font>
      <b/>
      <sz val="11"/>
      <name val="Arial"/>
    </font>
    <font>
      <b/>
      <sz val="10"/>
      <name val="Arial"/>
    </font>
    <font>
      <b/>
      <sz val="15"/>
      <color rgb="FF1F4E78"/>
      <name val="Arial"/>
    </font>
    <font>
      <b/>
      <sz val="12"/>
      <color rgb="FF1F4E78"/>
      <name val="Arial"/>
    </font>
    <font>
      <b/>
      <sz val="10"/>
      <color rgb="FF1F4E7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0" borderId="0" xfId="0" applyFont="1"/>
    <xf numFmtId="0" fontId="9" fillId="0" borderId="2" xfId="0" applyFont="1" applyBorder="1"/>
    <xf numFmtId="0" fontId="0" fillId="0" borderId="2" xfId="0" applyBorder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0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4" fillId="5" borderId="1" xfId="0" applyFont="1" applyFill="1" applyBorder="1"/>
    <xf numFmtId="166" fontId="3" fillId="3" borderId="1" xfId="0" applyNumberFormat="1" applyFont="1" applyFill="1" applyBorder="1"/>
    <xf numFmtId="0" fontId="3" fillId="5" borderId="1" xfId="0" applyFont="1" applyFill="1" applyBorder="1" applyAlignment="1">
      <alignment vertical="top" wrapText="1"/>
    </xf>
    <xf numFmtId="0" fontId="1" fillId="0" borderId="0" xfId="0" applyFont="1"/>
    <xf numFmtId="0" fontId="3" fillId="0" borderId="1" xfId="0" applyFont="1" applyBorder="1"/>
    <xf numFmtId="164" fontId="3" fillId="3" borderId="1" xfId="0" applyNumberFormat="1" applyFont="1" applyFill="1" applyBorder="1"/>
    <xf numFmtId="9" fontId="3" fillId="3" borderId="1" xfId="0" applyNumberFormat="1" applyFont="1" applyFill="1" applyBorder="1"/>
    <xf numFmtId="0" fontId="5" fillId="0" borderId="0" xfId="0" applyFont="1"/>
    <xf numFmtId="0" fontId="2" fillId="2" borderId="0" xfId="0" applyFont="1" applyFill="1"/>
    <xf numFmtId="0" fontId="3" fillId="0" borderId="0" xfId="0" applyFont="1"/>
    <xf numFmtId="0" fontId="6" fillId="0" borderId="0" xfId="0" applyFont="1"/>
    <xf numFmtId="0" fontId="7" fillId="0" borderId="0" xfId="0" applyFont="1"/>
    <xf numFmtId="167" fontId="3" fillId="3" borderId="1" xfId="0" applyNumberFormat="1" applyFont="1" applyFill="1" applyBorder="1"/>
    <xf numFmtId="164" fontId="4" fillId="5" borderId="1" xfId="0" applyNumberFormat="1" applyFont="1" applyFill="1" applyBorder="1"/>
    <xf numFmtId="4" fontId="4" fillId="5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7" fillId="6" borderId="0" xfId="0" applyFont="1" applyFill="1" applyAlignment="1">
      <alignment vertical="top" wrapText="1"/>
    </xf>
  </cellXfs>
  <cellStyles count="1">
    <cellStyle name="Обычный" xfId="0" builtinId="0"/>
  </cellStyles>
  <dxfs count="7"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t_bonus" displayName="pot_bonus" ref="A1:AC10">
  <tableColumns count="29">
    <tableColumn id="1" xr3:uid="{00000000-0010-0000-0000-000001000000}" name="код_ПОТ"/>
    <tableColumn id="2" xr3:uid="{00000000-0010-0000-0000-000002000000}" name="ДЦ"/>
    <tableColumn id="3" xr3:uid="{00000000-0010-0000-0000-000003000000}" name="код_ДЦ">
      <calculatedColumnFormula>IF(B2="","",IFERROR(INDEX(Справочники!$A$2:$A$500,MATCH(B2,Справочники!$B$2:$B$500,0)),"!нет в справочнике"))</calculatedColumnFormula>
    </tableColumn>
    <tableColumn id="4" xr3:uid="{00000000-0010-0000-0000-000004000000}" name="ЦФО"/>
    <tableColumn id="5" xr3:uid="{00000000-0010-0000-0000-000005000000}" name="код_ЦФО">
      <calculatedColumnFormula>IF(D2="","",IFERROR(INDEX(Справочники!$D$2:$D$500,MATCH(D2,Справочники!$E$2:$E$500,0)),"!нет в справочнике"))</calculatedColumnFormula>
    </tableColumn>
    <tableColumn id="6" xr3:uid="{00000000-0010-0000-0000-000006000000}" name="подразделение"/>
    <tableColumn id="7" xr3:uid="{00000000-0010-0000-0000-000007000000}" name="код_подразделения">
      <calculatedColumnFormula>IF(F2="","",IFERROR(INDEX(Справочники!$G$2:$G$500,MATCH(F2,Справочники!$H$2:$H$500,0)),"!нет в справочнике"))</calculatedColumnFormula>
    </tableColumn>
    <tableColumn id="8" xr3:uid="{00000000-0010-0000-0000-000008000000}" name="марка"/>
    <tableColumn id="9" xr3:uid="{00000000-0010-0000-0000-000009000000}" name="код_марки">
      <calculatedColumnFormula>IF(H2="","",IFERROR(INDEX(Справочники!$J$2:$J$500,MATCH(H2,Справочники!$K$2:$K$500,0)),"!нет в справочнике"))</calculatedColumnFormula>
    </tableColumn>
    <tableColumn id="10" xr3:uid="{00000000-0010-0000-0000-00000A000000}" name="должность"/>
    <tableColumn id="11" xr3:uid="{00000000-0010-0000-0000-00000B000000}" name="код_должности">
      <calculatedColumnFormula>IF(J2="","",IFERROR(INDEX(Справочники!$M$2:$M$500,MATCH(J2,Справочники!$N$2:$N$500,0)),"!нет в справочнике"))</calculatedColumnFormula>
    </tableColumn>
    <tableColumn id="12" xr3:uid="{00000000-0010-0000-0000-00000C000000}" name="вид_премии"/>
    <tableColumn id="13" xr3:uid="{00000000-0010-0000-0000-00000D000000}" name="код_вида_премии">
      <calculatedColumnFormula>IF(L2="","",IFERROR(INDEX(Справочники!$P$2:$P$500,MATCH(L2,Справочники!$Q$2:$Q$500,0)),"!нет в справочнике"))</calculatedColumnFormula>
    </tableColumn>
    <tableColumn id="14" xr3:uid="{00000000-0010-0000-0000-00000E000000}" name="периодичность"/>
    <tableColumn id="15" xr3:uid="{00000000-0010-0000-0000-00000F000000}" name="код_периодичности">
      <calculatedColumnFormula>IF(N2="","",IFERROR(INDEX(Справочники!$W$2:$W$500,MATCH(N2,Справочники!$X$2:$X$500,0)),"!нет в справочнике"))</calculatedColumnFormula>
    </tableColumn>
    <tableColumn id="16" xr3:uid="{00000000-0010-0000-0000-000010000000}" name="KPI_расчёта"/>
    <tableColumn id="17" xr3:uid="{00000000-0010-0000-0000-000011000000}" name="код_KPI_расчёта">
      <calculatedColumnFormula>IF(P2="","",IFERROR(INDEX(Справочники!$S$2:$S$500,MATCH(P2,Справочники!$T$2:$T$500,0)),"!нет в справочнике"))</calculatedColumnFormula>
    </tableColumn>
    <tableColumn id="18" xr3:uid="{00000000-0010-0000-0000-000012000000}" name="тип_значения_KPI_расчёта"/>
    <tableColumn id="19" xr3:uid="{00000000-0010-0000-0000-000013000000}" name="код_типа_KPI_расчёта">
      <calculatedColumnFormula>IF(R2="","",IFERROR(INDEX(Справочники!$Z$2:$Z$500,MATCH(R2,Справочники!$AA$2:$AA$500,0)),"!нет в справочнике"))</calculatedColumnFormula>
    </tableColumn>
    <tableColumn id="20" xr3:uid="{00000000-0010-0000-0000-000014000000}" name="KPI_шкалы"/>
    <tableColumn id="21" xr3:uid="{00000000-0010-0000-0000-000015000000}" name="код_KPI_шкалы">
      <calculatedColumnFormula>IF(T2="","",IFERROR(INDEX(Справочники!$S$2:$S$500,MATCH(T2,Справочники!$T$2:$T$500,0)),"!нет в справочнике"))</calculatedColumnFormula>
    </tableColumn>
    <tableColumn id="22" xr3:uid="{00000000-0010-0000-0000-000016000000}" name="тип_значения_KPI_шкалы"/>
    <tableColumn id="23" xr3:uid="{00000000-0010-0000-0000-000017000000}" name="код_типа_KPI_шкалы">
      <calculatedColumnFormula>IF(V2="","",IFERROR(INDEX(Справочники!$Z$2:$Z$500,MATCH(V2,Справочники!$AA$2:$AA$500,0)),"!нет в справочнике"))</calculatedColumnFormula>
    </tableColumn>
    <tableColumn id="24" xr3:uid="{00000000-0010-0000-0000-000018000000}" name="шкала"/>
    <tableColumn id="25" xr3:uid="{00000000-0010-0000-0000-000019000000}" name="код_шкалы">
      <calculatedColumnFormula>IF(X2="","",IFERROR(INDEX(Шкалы!$A$2:$A$500,MATCH(X2,Шкалы!$B$2:$B$500,0)),"!нет в справочнике"))</calculatedColumnFormula>
    </tableColumn>
    <tableColumn id="26" xr3:uid="{00000000-0010-0000-0000-00001A000000}" name="дата_начала"/>
    <tableColumn id="27" xr3:uid="{00000000-0010-0000-0000-00001B000000}" name="дата_окончания"/>
    <tableColumn id="28" xr3:uid="{00000000-0010-0000-0000-00001C000000}" name="комментарий"/>
    <tableColumn id="29" xr3:uid="{00000000-0010-0000-0000-00001D000000}" name="проверка">
      <calculatedColumnFormula>IF(A2="","",IF(COUNTIF($A$2:$A$500,A2)&gt;1,"Дубль код_ПОТ",IF(COUNTBLANK(B2:Z2)&gt;0,"Не заполнены обязательные поля",IF(COUNTIF(C2:Y2,"!*")&gt;0,"Значение не найдено в справочнике",IF(AND(AA2&lt;&gt;"",N(AA2)&lt;N(Z2)),"дата_окончания раньше дата_начала",IF(COUNTIF(Шкалы_ступени!$B$2:$B$500,Y2)=0,"У шкалы нет ступеней",IF(SUMPRODUCT(($C$2:$C$500=C2)*($E$2:$E$500=E2)*($G$2:$G$500=G2)*($I$2:$I$500=I2)*($K$2:$K$500=K2)*($M$2:$M$500=M2)*(ROW($A$2:$A$500)&lt;&gt;ROW())*($Z$2:$Z$500&lt;=(AA2="")*1E+99+N(AA2))*((($AA$2:$AA$500="")*1E+99+$AA$2:$AA$500)&gt;=N(Z2)))&gt;0,"Пересечение со строкой с тем же набором атрибутов","ОК")))))))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_dc" displayName="ref_dc" ref="A3:B6">
  <tableColumns count="2">
    <tableColumn id="1" xr3:uid="{00000000-0010-0000-0100-000001000000}" name="код_ДЦ"/>
    <tableColumn id="2" xr3:uid="{00000000-0010-0000-0100-000002000000}" name="ДЦ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cfo" displayName="ref_cfo" ref="D3:E6">
  <tableColumns count="2">
    <tableColumn id="1" xr3:uid="{00000000-0010-0000-0200-000001000000}" name="код_ЦФО"/>
    <tableColumn id="2" xr3:uid="{00000000-0010-0000-0200-000002000000}" name="ЦФО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dept" displayName="ref_dept" ref="G3:H6">
  <tableColumns count="2">
    <tableColumn id="1" xr3:uid="{00000000-0010-0000-0300-000001000000}" name="код_подразделения"/>
    <tableColumn id="2" xr3:uid="{00000000-0010-0000-0300-000002000000}" name="подразделение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_brand" displayName="ref_brand" ref="J3:K7">
  <tableColumns count="2">
    <tableColumn id="1" xr3:uid="{00000000-0010-0000-0400-000001000000}" name="код_марки"/>
    <tableColumn id="2" xr3:uid="{00000000-0010-0000-0400-000002000000}" name="марка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f_position" displayName="ref_position" ref="M3:N6">
  <tableColumns count="2">
    <tableColumn id="1" xr3:uid="{00000000-0010-0000-0500-000001000000}" name="код_должности"/>
    <tableColumn id="2" xr3:uid="{00000000-0010-0000-0500-000002000000}" name="должность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f_bonus_type" displayName="ref_bonus_type" ref="P3:Q7">
  <tableColumns count="2">
    <tableColumn id="1" xr3:uid="{00000000-0010-0000-0600-000001000000}" name="код_вида_премии"/>
    <tableColumn id="2" xr3:uid="{00000000-0010-0000-0600-000002000000}" name="вид_премии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f_kpi" displayName="ref_kpi" ref="S3:U8">
  <tableColumns count="3">
    <tableColumn id="1" xr3:uid="{00000000-0010-0000-0700-000001000000}" name="код_KPI"/>
    <tableColumn id="2" xr3:uid="{00000000-0010-0000-0700-000002000000}" name="KPI"/>
    <tableColumn id="3" xr3:uid="{00000000-0010-0000-0700-000003000000}" name="ед_изм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f_period" displayName="ref_period" ref="W3:X6">
  <tableColumns count="2">
    <tableColumn id="1" xr3:uid="{00000000-0010-0000-0800-000001000000}" name="код_периодичности"/>
    <tableColumn id="2" xr3:uid="{00000000-0010-0000-0800-000002000000}" name="периодичность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f_value_type" displayName="ref_value_type" ref="Z3:AA6">
  <tableColumns count="2">
    <tableColumn id="1" xr3:uid="{00000000-0010-0000-0900-000001000000}" name="код_типа_значения"/>
    <tableColumn id="2" xr3:uid="{00000000-0010-0000-0900-000002000000}" name="тип_значения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f_mult_type" displayName="ref_mult_type" ref="AC3:AD5">
  <tableColumns count="2">
    <tableColumn id="1" xr3:uid="{00000000-0010-0000-0A00-000001000000}" name="код_типа_множителя"/>
    <tableColumn id="2" xr3:uid="{00000000-0010-0000-0A00-000002000000}" name="тип_множителя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cale" displayName="scale" ref="A1:C5">
  <tableColumns count="3">
    <tableColumn id="1" xr3:uid="{00000000-0010-0000-0B00-000001000000}" name="код_шкалы"/>
    <tableColumn id="2" xr3:uid="{00000000-0010-0000-0B00-000002000000}" name="шкала"/>
    <tableColumn id="3" xr3:uid="{00000000-0010-0000-0B00-000003000000}" name="описание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cale_step" displayName="scale_step" ref="A1:I15">
  <tableColumns count="9">
    <tableColumn id="1" xr3:uid="{00000000-0010-0000-0C00-000001000000}" name="шкала"/>
    <tableColumn id="2" xr3:uid="{00000000-0010-0000-0C00-000002000000}" name="код_шкалы">
      <calculatedColumnFormula>IF(A2="","",IFERROR(INDEX(Шкалы!$A$2:$A$500,MATCH(A2,Шкалы!$B$2:$B$500,0)),"!нет в справочнике"))</calculatedColumnFormula>
    </tableColumn>
    <tableColumn id="3" xr3:uid="{00000000-0010-0000-0C00-000003000000}" name="номер_ступени"/>
    <tableColumn id="4" xr3:uid="{00000000-0010-0000-0C00-000004000000}" name="значение_от"/>
    <tableColumn id="5" xr3:uid="{00000000-0010-0000-0C00-000005000000}" name="значение_до"/>
    <tableColumn id="6" xr3:uid="{00000000-0010-0000-0C00-000006000000}" name="тип_множителя"/>
    <tableColumn id="7" xr3:uid="{00000000-0010-0000-0C00-000007000000}" name="код_типа_множителя">
      <calculatedColumnFormula>IF(F2="","",IFERROR(INDEX(Справочники!$AC$2:$AC$500,MATCH(F2,Справочники!$AD$2:$AD$500,0)),"!нет в справочнике"))</calculatedColumnFormula>
    </tableColumn>
    <tableColumn id="8" xr3:uid="{00000000-0010-0000-0C00-000008000000}" name="множитель"/>
    <tableColumn id="9" xr3:uid="{00000000-0010-0000-0C00-000009000000}" name="проверка">
      <calculatedColumnFormula>IF(A2="","",IF(OR(B2="",LEFT(B2,1)="!"),"Шкала не найдена",IF(OR(C2="",D2="",F2=""),"Не заполнены обязательные поля",IF(AND(G2="CONST",H2=""),"Не указан множитель",IF(AND(G2="KPI_SCALE",H2&lt;&gt;""),"Множитель должен быть пустым",IF(COUNTIFS($B$2:$B$500,B2,$C$2:$C$500,C2)&gt;1,"Дубль номера ступени",IF(AND(E2&lt;&gt;"",N(E2)&lt;=N(D2)),"значение_до &lt;= значение_от",IF(SUMPRODUCT(($B$2:$B$500=B2)*(ROW($B$2:$B$500)&lt;&gt;ROW())*($D$2:$D$500&lt;(E2="")*1E+99+N(E2))*((($E$2:$E$500="")*1E+99+$E$2:$E$500)&gt;D2))&gt;0,"Пересечение диапазонов",IF(AND(E2&lt;&gt;"",COUNTIFS($B$2:$B$500,B2,$D$2:$D$500,E2)=0),"Разрыв после значения "&amp;E2,"ОК")))))))))</calculatedColumnFormula>
    </tableColumn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lc_example" displayName="calc_example" ref="A3:O10">
  <tableColumns count="15">
    <tableColumn id="1" xr3:uid="{00000000-0010-0000-0D00-000001000000}" name="период"/>
    <tableColumn id="2" xr3:uid="{00000000-0010-0000-0D00-000002000000}" name="фио_сотрудника"/>
    <tableColumn id="3" xr3:uid="{00000000-0010-0000-0D00-000003000000}" name="ДЦ"/>
    <tableColumn id="4" xr3:uid="{00000000-0010-0000-0D00-000004000000}" name="ЦФО"/>
    <tableColumn id="5" xr3:uid="{00000000-0010-0000-0D00-000005000000}" name="подразделение"/>
    <tableColumn id="6" xr3:uid="{00000000-0010-0000-0D00-000006000000}" name="марка"/>
    <tableColumn id="7" xr3:uid="{00000000-0010-0000-0D00-000007000000}" name="должность"/>
    <tableColumn id="8" xr3:uid="{00000000-0010-0000-0D00-000008000000}" name="вид_премии"/>
    <tableColumn id="9" xr3:uid="{00000000-0010-0000-0D00-000009000000}" name="значение_KPI_расчёта"/>
    <tableColumn id="10" xr3:uid="{00000000-0010-0000-0D00-00000A000000}" name="значение_KPI_шкалы"/>
    <tableColumn id="11" xr3:uid="{00000000-0010-0000-0D00-00000B000000}" name="код_ПОТ">
      <calculatedColumnFormula>IFERROR(INDEX(ПОТ_Премии!$A$2:$A$500,MATCH(1,INDEX((ПОТ_Премии!$B$2:$B$500=C4)*(ПОТ_Премии!$D$2:$D$500=D4)*(ПОТ_Премии!$F$2:$F$500=E4)*(ПОТ_Премии!$H$2:$H$500=F4)*(ПОТ_Премии!$J$2:$J$500=G4)*(ПОТ_Премии!$L$2:$L$500=H4),0),0)),"ПОТ не найден")</calculatedColumnFormula>
    </tableColumn>
    <tableColumn id="12" xr3:uid="{00000000-0010-0000-0D00-00000C000000}" name="код_шкалы">
      <calculatedColumnFormula>IFERROR(INDEX(ПОТ_Премии!$Y$2:$Y$500,MATCH(K4,ПОТ_Премии!$A$2:$A$500,0)),"")</calculatedColumnFormula>
    </tableColumn>
    <tableColumn id="13" xr3:uid="{00000000-0010-0000-0D00-00000D000000}" name="номер_ступени">
      <calculatedColumnFormula>IF(L4="","",SUMIFS(Шкалы_ступени!$C$2:$C$500,Шкалы_ступени!$B$2:$B$500,L4,Шкалы_ступени!$D$2:$D$500,"&lt;="&amp;J4,Шкалы_ступени!$E$2:$E$500,"&gt;"&amp;J4)+SUMIFS(Шкалы_ступени!$C$2:$C$500,Шкалы_ступени!$B$2:$B$500,L4,Шкалы_ступени!$D$2:$D$500,"&lt;="&amp;J4,Шкалы_ступени!$E$2:$E$500,"="))</calculatedColumnFormula>
    </tableColumn>
    <tableColumn id="14" xr3:uid="{00000000-0010-0000-0D00-00000E000000}" name="множитель">
      <calculatedColumnFormula>IF(OR(L4="",M4=0),"",IF(INDEX(Шкалы_ступени!$G$2:$G$500,MATCH(1,INDEX((Шкалы_ступени!$B$2:$B$500=L4)*(Шкалы_ступени!$C$2:$C$500=M4),0),0))="KPI_SCALE",J4,INDEX(Шкалы_ступени!$H$2:$H$500,MATCH(1,INDEX((Шкалы_ступени!$B$2:$B$500=L4)*(Шкалы_ступени!$C$2:$C$500=M4),0),0))))</calculatedColumnFormula>
    </tableColumn>
    <tableColumn id="15" xr3:uid="{00000000-0010-0000-0D00-00000F000000}" name="премия_руб">
      <calculatedColumnFormula>IF(N4="","",ROUND(I4*N4,2))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showGridLines="0" workbookViewId="0">
      <pane ySplit="1" topLeftCell="A94" activePane="bottomLeft" state="frozen"/>
      <selection pane="bottomLeft" activeCell="D120" sqref="D120"/>
    </sheetView>
  </sheetViews>
  <sheetFormatPr defaultRowHeight="14.4" x14ac:dyDescent="0.3"/>
  <cols>
    <col min="1" max="1" width="24" customWidth="1"/>
    <col min="2" max="2" width="28" customWidth="1"/>
    <col min="3" max="4" width="16" customWidth="1"/>
    <col min="5" max="5" width="52" customWidth="1"/>
    <col min="6" max="6" width="30" customWidth="1"/>
  </cols>
  <sheetData>
    <row r="1" spans="1:6" ht="24" customHeight="1" x14ac:dyDescent="0.35">
      <c r="A1" s="1" t="s">
        <v>0</v>
      </c>
    </row>
    <row r="2" spans="1:6" ht="13.95" customHeight="1" x14ac:dyDescent="0.3">
      <c r="A2" s="29" t="s">
        <v>1</v>
      </c>
      <c r="B2" s="30"/>
      <c r="C2" s="30"/>
      <c r="D2" s="30"/>
      <c r="E2" s="30"/>
      <c r="F2" s="30"/>
    </row>
    <row r="4" spans="1:6" ht="15.6" x14ac:dyDescent="0.3">
      <c r="A4" s="2" t="s">
        <v>2</v>
      </c>
      <c r="B4" s="3"/>
      <c r="C4" s="3"/>
      <c r="D4" s="3"/>
      <c r="E4" s="3"/>
      <c r="F4" s="3"/>
    </row>
    <row r="5" spans="1:6" ht="54" customHeight="1" x14ac:dyDescent="0.3">
      <c r="A5" s="29" t="s">
        <v>3</v>
      </c>
      <c r="B5" s="30"/>
      <c r="C5" s="30"/>
      <c r="D5" s="30"/>
      <c r="E5" s="30"/>
      <c r="F5" s="30"/>
    </row>
    <row r="7" spans="1:6" ht="15.6" x14ac:dyDescent="0.3">
      <c r="A7" s="2" t="s">
        <v>4</v>
      </c>
      <c r="B7" s="3"/>
      <c r="C7" s="3"/>
      <c r="D7" s="3"/>
      <c r="E7" s="3"/>
      <c r="F7" s="3"/>
    </row>
    <row r="8" spans="1:6" ht="13.95" customHeight="1" x14ac:dyDescent="0.3">
      <c r="A8" s="4" t="s">
        <v>5</v>
      </c>
      <c r="B8" s="28" t="s">
        <v>6</v>
      </c>
      <c r="C8" s="26"/>
      <c r="D8" s="26"/>
      <c r="E8" s="26"/>
      <c r="F8" s="27"/>
    </row>
    <row r="9" spans="1:6" ht="13.95" customHeight="1" x14ac:dyDescent="0.3">
      <c r="A9" s="5" t="s">
        <v>7</v>
      </c>
      <c r="B9" s="25" t="s">
        <v>8</v>
      </c>
      <c r="C9" s="26"/>
      <c r="D9" s="26"/>
      <c r="E9" s="26"/>
      <c r="F9" s="27"/>
    </row>
    <row r="10" spans="1:6" ht="13.95" customHeight="1" x14ac:dyDescent="0.3">
      <c r="A10" s="5" t="s">
        <v>9</v>
      </c>
      <c r="B10" s="25" t="s">
        <v>10</v>
      </c>
      <c r="C10" s="26"/>
      <c r="D10" s="26"/>
      <c r="E10" s="26"/>
      <c r="F10" s="27"/>
    </row>
    <row r="11" spans="1:6" ht="13.95" customHeight="1" x14ac:dyDescent="0.3">
      <c r="A11" s="5" t="s">
        <v>11</v>
      </c>
      <c r="B11" s="25" t="s">
        <v>12</v>
      </c>
      <c r="C11" s="26"/>
      <c r="D11" s="26"/>
      <c r="E11" s="26"/>
      <c r="F11" s="27"/>
    </row>
    <row r="12" spans="1:6" ht="13.95" customHeight="1" x14ac:dyDescent="0.3">
      <c r="A12" s="5" t="s">
        <v>13</v>
      </c>
      <c r="B12" s="25" t="s">
        <v>14</v>
      </c>
      <c r="C12" s="26"/>
      <c r="D12" s="26"/>
      <c r="E12" s="26"/>
      <c r="F12" s="27"/>
    </row>
    <row r="13" spans="1:6" ht="13.95" customHeight="1" x14ac:dyDescent="0.3">
      <c r="A13" s="5" t="s">
        <v>15</v>
      </c>
      <c r="B13" s="25" t="s">
        <v>16</v>
      </c>
      <c r="C13" s="26"/>
      <c r="D13" s="26"/>
      <c r="E13" s="26"/>
      <c r="F13" s="27"/>
    </row>
    <row r="14" spans="1:6" ht="13.95" customHeight="1" x14ac:dyDescent="0.3">
      <c r="A14" s="5" t="s">
        <v>17</v>
      </c>
      <c r="B14" s="25" t="s">
        <v>18</v>
      </c>
      <c r="C14" s="26"/>
      <c r="D14" s="26"/>
      <c r="E14" s="26"/>
      <c r="F14" s="27"/>
    </row>
    <row r="15" spans="1:6" ht="13.95" customHeight="1" x14ac:dyDescent="0.3">
      <c r="A15" s="5" t="s">
        <v>19</v>
      </c>
      <c r="B15" s="25" t="s">
        <v>20</v>
      </c>
      <c r="C15" s="26"/>
      <c r="D15" s="26"/>
      <c r="E15" s="26"/>
      <c r="F15" s="27"/>
    </row>
    <row r="16" spans="1:6" ht="13.95" customHeight="1" x14ac:dyDescent="0.3">
      <c r="A16" s="5" t="s">
        <v>21</v>
      </c>
      <c r="B16" s="25" t="s">
        <v>22</v>
      </c>
      <c r="C16" s="26"/>
      <c r="D16" s="26"/>
      <c r="E16" s="26"/>
      <c r="F16" s="27"/>
    </row>
    <row r="17" spans="1:6" ht="13.95" customHeight="1" x14ac:dyDescent="0.3">
      <c r="A17" s="5" t="s">
        <v>23</v>
      </c>
      <c r="B17" s="25" t="s">
        <v>24</v>
      </c>
      <c r="C17" s="26"/>
      <c r="D17" s="26"/>
      <c r="E17" s="26"/>
      <c r="F17" s="27"/>
    </row>
    <row r="19" spans="1:6" ht="15.6" x14ac:dyDescent="0.3">
      <c r="A19" s="2" t="s">
        <v>25</v>
      </c>
      <c r="B19" s="3"/>
      <c r="C19" s="3"/>
      <c r="D19" s="3"/>
      <c r="E19" s="3"/>
      <c r="F19" s="3"/>
    </row>
    <row r="20" spans="1:6" ht="13.95" customHeight="1" x14ac:dyDescent="0.3">
      <c r="A20" s="31" t="s">
        <v>26</v>
      </c>
      <c r="B20" s="30"/>
      <c r="C20" s="30"/>
      <c r="D20" s="30"/>
      <c r="E20" s="30"/>
      <c r="F20" s="30"/>
    </row>
    <row r="21" spans="1:6" ht="67.5" customHeight="1" x14ac:dyDescent="0.3">
      <c r="A21" s="29" t="s">
        <v>27</v>
      </c>
      <c r="B21" s="30"/>
      <c r="C21" s="30"/>
      <c r="D21" s="30"/>
      <c r="E21" s="30"/>
      <c r="F21" s="30"/>
    </row>
    <row r="22" spans="1:6" x14ac:dyDescent="0.3">
      <c r="A22" s="6" t="s">
        <v>28</v>
      </c>
    </row>
    <row r="23" spans="1:6" ht="13.95" customHeight="1" x14ac:dyDescent="0.3">
      <c r="A23" s="4" t="s">
        <v>29</v>
      </c>
      <c r="B23" s="4" t="s">
        <v>11</v>
      </c>
      <c r="C23" s="4" t="s">
        <v>30</v>
      </c>
      <c r="D23" s="4" t="s">
        <v>19</v>
      </c>
      <c r="E23" s="28" t="s">
        <v>31</v>
      </c>
      <c r="F23" s="27"/>
    </row>
    <row r="24" spans="1:6" ht="27" customHeight="1" x14ac:dyDescent="0.3">
      <c r="A24" s="5" t="s">
        <v>32</v>
      </c>
      <c r="B24" s="5" t="s">
        <v>33</v>
      </c>
      <c r="C24" s="5" t="s">
        <v>33</v>
      </c>
      <c r="D24" s="5" t="s">
        <v>34</v>
      </c>
      <c r="E24" s="25" t="s">
        <v>35</v>
      </c>
      <c r="F24" s="27"/>
    </row>
    <row r="25" spans="1:6" ht="27" customHeight="1" x14ac:dyDescent="0.3">
      <c r="A25" s="5" t="s">
        <v>36</v>
      </c>
      <c r="B25" s="5" t="s">
        <v>37</v>
      </c>
      <c r="C25" s="5" t="s">
        <v>38</v>
      </c>
      <c r="D25" s="5" t="s">
        <v>39</v>
      </c>
      <c r="E25" s="25" t="s">
        <v>40</v>
      </c>
      <c r="F25" s="27"/>
    </row>
    <row r="26" spans="1:6" ht="40.5" customHeight="1" x14ac:dyDescent="0.3">
      <c r="A26" s="5" t="s">
        <v>41</v>
      </c>
      <c r="B26" s="5" t="s">
        <v>42</v>
      </c>
      <c r="C26" s="5" t="s">
        <v>43</v>
      </c>
      <c r="D26" s="5" t="s">
        <v>44</v>
      </c>
      <c r="E26" s="25" t="s">
        <v>45</v>
      </c>
      <c r="F26" s="27"/>
    </row>
    <row r="27" spans="1:6" ht="27" customHeight="1" x14ac:dyDescent="0.3">
      <c r="A27" s="5" t="s">
        <v>46</v>
      </c>
      <c r="B27" s="5" t="s">
        <v>47</v>
      </c>
      <c r="C27" s="5" t="s">
        <v>48</v>
      </c>
      <c r="D27" s="5" t="s">
        <v>49</v>
      </c>
      <c r="E27" s="25" t="s">
        <v>50</v>
      </c>
      <c r="F27" s="27"/>
    </row>
    <row r="29" spans="1:6" ht="15.6" x14ac:dyDescent="0.3">
      <c r="A29" s="2" t="s">
        <v>51</v>
      </c>
      <c r="B29" s="3"/>
      <c r="C29" s="3"/>
      <c r="D29" s="3"/>
      <c r="E29" s="3"/>
      <c r="F29" s="3"/>
    </row>
    <row r="30" spans="1:6" ht="13.95" customHeight="1" x14ac:dyDescent="0.3">
      <c r="A30" s="4" t="s">
        <v>52</v>
      </c>
      <c r="B30" s="28" t="s">
        <v>53</v>
      </c>
      <c r="C30" s="27"/>
      <c r="D30" s="4" t="s">
        <v>54</v>
      </c>
      <c r="E30" s="4" t="s">
        <v>55</v>
      </c>
      <c r="F30" s="4" t="s">
        <v>56</v>
      </c>
    </row>
    <row r="31" spans="1:6" ht="13.95" customHeight="1" x14ac:dyDescent="0.3">
      <c r="A31" s="5" t="s">
        <v>57</v>
      </c>
      <c r="B31" s="25" t="s">
        <v>58</v>
      </c>
      <c r="C31" s="27"/>
      <c r="D31" s="5" t="s">
        <v>59</v>
      </c>
      <c r="E31" s="5" t="s">
        <v>60</v>
      </c>
      <c r="F31" s="5"/>
    </row>
    <row r="32" spans="1:6" ht="27" customHeight="1" x14ac:dyDescent="0.3">
      <c r="A32" s="5" t="s">
        <v>61</v>
      </c>
      <c r="B32" s="25" t="s">
        <v>62</v>
      </c>
      <c r="C32" s="27"/>
      <c r="D32" s="5" t="s">
        <v>63</v>
      </c>
      <c r="E32" s="5" t="s">
        <v>64</v>
      </c>
      <c r="F32" s="5" t="s">
        <v>65</v>
      </c>
    </row>
    <row r="33" spans="1:6" ht="27" customHeight="1" x14ac:dyDescent="0.3">
      <c r="A33" s="5" t="s">
        <v>66</v>
      </c>
      <c r="B33" s="25" t="s">
        <v>67</v>
      </c>
      <c r="C33" s="27"/>
      <c r="D33" s="5" t="s">
        <v>68</v>
      </c>
      <c r="E33" s="5" t="s">
        <v>69</v>
      </c>
      <c r="F33" s="5" t="s">
        <v>70</v>
      </c>
    </row>
    <row r="34" spans="1:6" ht="13.95" customHeight="1" x14ac:dyDescent="0.3">
      <c r="A34" s="5" t="s">
        <v>71</v>
      </c>
      <c r="B34" s="25" t="s">
        <v>72</v>
      </c>
      <c r="C34" s="27"/>
      <c r="D34" s="5" t="s">
        <v>63</v>
      </c>
      <c r="E34" s="5" t="s">
        <v>73</v>
      </c>
      <c r="F34" s="5"/>
    </row>
    <row r="35" spans="1:6" ht="13.95" customHeight="1" x14ac:dyDescent="0.3">
      <c r="A35" s="5" t="s">
        <v>74</v>
      </c>
      <c r="B35" s="25" t="s">
        <v>75</v>
      </c>
      <c r="C35" s="27"/>
      <c r="D35" s="5" t="s">
        <v>63</v>
      </c>
      <c r="E35" s="5" t="s">
        <v>76</v>
      </c>
      <c r="F35" s="5"/>
    </row>
    <row r="36" spans="1:6" ht="13.95" customHeight="1" x14ac:dyDescent="0.3">
      <c r="A36" s="5" t="s">
        <v>77</v>
      </c>
      <c r="B36" s="25" t="s">
        <v>78</v>
      </c>
      <c r="C36" s="27"/>
      <c r="D36" s="5" t="s">
        <v>79</v>
      </c>
      <c r="E36" s="5" t="s">
        <v>60</v>
      </c>
      <c r="F36" s="5"/>
    </row>
    <row r="37" spans="1:6" ht="27" customHeight="1" x14ac:dyDescent="0.3">
      <c r="A37" s="5" t="s">
        <v>80</v>
      </c>
      <c r="B37" s="25" t="s">
        <v>81</v>
      </c>
      <c r="C37" s="27"/>
      <c r="D37" s="5" t="s">
        <v>59</v>
      </c>
      <c r="E37" s="5" t="s">
        <v>60</v>
      </c>
      <c r="F37" s="5"/>
    </row>
    <row r="38" spans="1:6" ht="27" customHeight="1" x14ac:dyDescent="0.3">
      <c r="A38" s="5" t="s">
        <v>82</v>
      </c>
      <c r="B38" s="25" t="s">
        <v>83</v>
      </c>
      <c r="C38" s="27"/>
      <c r="D38" s="5" t="s">
        <v>59</v>
      </c>
      <c r="E38" s="5" t="s">
        <v>60</v>
      </c>
      <c r="F38" s="5" t="s">
        <v>84</v>
      </c>
    </row>
    <row r="40" spans="1:6" ht="15.6" x14ac:dyDescent="0.3">
      <c r="A40" s="2" t="s">
        <v>85</v>
      </c>
      <c r="B40" s="3"/>
      <c r="C40" s="3"/>
      <c r="D40" s="3"/>
      <c r="E40" s="3"/>
      <c r="F40" s="3"/>
    </row>
    <row r="41" spans="1:6" ht="13.95" customHeight="1" x14ac:dyDescent="0.3">
      <c r="A41" s="28" t="s">
        <v>86</v>
      </c>
      <c r="B41" s="26"/>
      <c r="C41" s="26"/>
      <c r="D41" s="27"/>
      <c r="E41" s="28" t="s">
        <v>87</v>
      </c>
      <c r="F41" s="27"/>
    </row>
    <row r="42" spans="1:6" ht="13.95" customHeight="1" x14ac:dyDescent="0.3">
      <c r="A42" s="25" t="s">
        <v>88</v>
      </c>
      <c r="B42" s="26"/>
      <c r="C42" s="26"/>
      <c r="D42" s="27"/>
      <c r="E42" s="25" t="s">
        <v>89</v>
      </c>
      <c r="F42" s="27"/>
    </row>
    <row r="43" spans="1:6" ht="13.95" customHeight="1" x14ac:dyDescent="0.3">
      <c r="A43" s="25" t="s">
        <v>90</v>
      </c>
      <c r="B43" s="26"/>
      <c r="C43" s="26"/>
      <c r="D43" s="27"/>
      <c r="E43" s="25" t="s">
        <v>91</v>
      </c>
      <c r="F43" s="27"/>
    </row>
    <row r="44" spans="1:6" ht="27" customHeight="1" x14ac:dyDescent="0.3">
      <c r="A44" s="25" t="s">
        <v>92</v>
      </c>
      <c r="B44" s="26"/>
      <c r="C44" s="26"/>
      <c r="D44" s="27"/>
      <c r="E44" s="25" t="s">
        <v>93</v>
      </c>
      <c r="F44" s="27"/>
    </row>
    <row r="45" spans="1:6" ht="13.95" customHeight="1" x14ac:dyDescent="0.3">
      <c r="A45" s="25" t="s">
        <v>94</v>
      </c>
      <c r="B45" s="26"/>
      <c r="C45" s="26"/>
      <c r="D45" s="27"/>
      <c r="E45" s="25" t="s">
        <v>95</v>
      </c>
      <c r="F45" s="27"/>
    </row>
    <row r="46" spans="1:6" ht="13.95" customHeight="1" x14ac:dyDescent="0.3">
      <c r="A46" s="25" t="s">
        <v>96</v>
      </c>
      <c r="B46" s="26"/>
      <c r="C46" s="26"/>
      <c r="D46" s="27"/>
      <c r="E46" s="25" t="s">
        <v>97</v>
      </c>
      <c r="F46" s="27"/>
    </row>
    <row r="47" spans="1:6" ht="13.95" customHeight="1" x14ac:dyDescent="0.3">
      <c r="A47" s="25" t="s">
        <v>98</v>
      </c>
      <c r="B47" s="26"/>
      <c r="C47" s="26"/>
      <c r="D47" s="27"/>
      <c r="E47" s="25" t="s">
        <v>99</v>
      </c>
      <c r="F47" s="27"/>
    </row>
    <row r="48" spans="1:6" ht="13.95" customHeight="1" x14ac:dyDescent="0.3">
      <c r="A48" s="25" t="s">
        <v>100</v>
      </c>
      <c r="B48" s="26"/>
      <c r="C48" s="26"/>
      <c r="D48" s="27"/>
      <c r="E48" s="25" t="s">
        <v>101</v>
      </c>
      <c r="F48" s="27"/>
    </row>
    <row r="49" spans="1:6" ht="13.95" customHeight="1" x14ac:dyDescent="0.3">
      <c r="A49" s="25" t="s">
        <v>102</v>
      </c>
      <c r="B49" s="26"/>
      <c r="C49" s="26"/>
      <c r="D49" s="27"/>
      <c r="E49" s="25" t="s">
        <v>103</v>
      </c>
      <c r="F49" s="27"/>
    </row>
    <row r="50" spans="1:6" ht="27" customHeight="1" x14ac:dyDescent="0.3">
      <c r="A50" s="25" t="s">
        <v>104</v>
      </c>
      <c r="B50" s="26"/>
      <c r="C50" s="26"/>
      <c r="D50" s="27"/>
      <c r="E50" s="25" t="s">
        <v>105</v>
      </c>
      <c r="F50" s="27"/>
    </row>
    <row r="51" spans="1:6" ht="13.95" customHeight="1" x14ac:dyDescent="0.3">
      <c r="A51" s="25" t="s">
        <v>106</v>
      </c>
      <c r="B51" s="26"/>
      <c r="C51" s="26"/>
      <c r="D51" s="27"/>
      <c r="E51" s="25" t="s">
        <v>107</v>
      </c>
      <c r="F51" s="27"/>
    </row>
    <row r="53" spans="1:6" ht="15.6" x14ac:dyDescent="0.3">
      <c r="A53" s="2" t="s">
        <v>108</v>
      </c>
      <c r="B53" s="3"/>
      <c r="C53" s="3"/>
      <c r="D53" s="3"/>
      <c r="E53" s="3"/>
      <c r="F53" s="3"/>
    </row>
    <row r="54" spans="1:6" x14ac:dyDescent="0.3">
      <c r="A54" s="6" t="s">
        <v>109</v>
      </c>
    </row>
    <row r="55" spans="1:6" ht="27" customHeight="1" x14ac:dyDescent="0.3">
      <c r="A55" s="29" t="s">
        <v>110</v>
      </c>
      <c r="B55" s="30"/>
      <c r="C55" s="30"/>
      <c r="D55" s="30"/>
      <c r="E55" s="30"/>
      <c r="F55" s="30"/>
    </row>
    <row r="56" spans="1:6" x14ac:dyDescent="0.3">
      <c r="A56" s="6" t="s">
        <v>111</v>
      </c>
    </row>
    <row r="57" spans="1:6" ht="67.5" customHeight="1" x14ac:dyDescent="0.3">
      <c r="A57" s="29" t="s">
        <v>112</v>
      </c>
      <c r="B57" s="30"/>
      <c r="C57" s="30"/>
      <c r="D57" s="30"/>
      <c r="E57" s="30"/>
      <c r="F57" s="30"/>
    </row>
    <row r="58" spans="1:6" x14ac:dyDescent="0.3">
      <c r="A58" s="6" t="s">
        <v>113</v>
      </c>
    </row>
    <row r="59" spans="1:6" ht="108" customHeight="1" x14ac:dyDescent="0.3">
      <c r="A59" s="29" t="s">
        <v>114</v>
      </c>
      <c r="B59" s="30"/>
      <c r="C59" s="30"/>
      <c r="D59" s="30"/>
      <c r="E59" s="30"/>
      <c r="F59" s="30"/>
    </row>
    <row r="60" spans="1:6" x14ac:dyDescent="0.3">
      <c r="A60" s="6" t="s">
        <v>115</v>
      </c>
    </row>
    <row r="61" spans="1:6" ht="13.95" customHeight="1" x14ac:dyDescent="0.3">
      <c r="A61" s="4" t="s">
        <v>116</v>
      </c>
      <c r="B61" s="4" t="s">
        <v>117</v>
      </c>
      <c r="C61" s="4" t="s">
        <v>118</v>
      </c>
      <c r="D61" s="4" t="s">
        <v>119</v>
      </c>
      <c r="E61" s="4" t="s">
        <v>120</v>
      </c>
      <c r="F61" s="4" t="s">
        <v>121</v>
      </c>
    </row>
    <row r="62" spans="1:6" ht="13.95" customHeight="1" x14ac:dyDescent="0.3">
      <c r="A62" s="5">
        <v>1</v>
      </c>
      <c r="B62" s="5">
        <v>0</v>
      </c>
      <c r="C62" s="5">
        <v>3</v>
      </c>
      <c r="D62" s="5" t="s">
        <v>122</v>
      </c>
      <c r="E62" s="5">
        <v>0</v>
      </c>
      <c r="F62" s="5" t="s">
        <v>123</v>
      </c>
    </row>
    <row r="63" spans="1:6" ht="13.95" customHeight="1" x14ac:dyDescent="0.3">
      <c r="A63" s="5">
        <v>2</v>
      </c>
      <c r="B63" s="5">
        <v>3</v>
      </c>
      <c r="C63" s="5">
        <v>6</v>
      </c>
      <c r="D63" s="5" t="s">
        <v>122</v>
      </c>
      <c r="E63" s="5">
        <v>10000</v>
      </c>
      <c r="F63" s="5" t="s">
        <v>124</v>
      </c>
    </row>
    <row r="64" spans="1:6" ht="13.95" customHeight="1" x14ac:dyDescent="0.3">
      <c r="A64" s="5">
        <v>3</v>
      </c>
      <c r="B64" s="5">
        <v>6</v>
      </c>
      <c r="C64" s="5">
        <v>15</v>
      </c>
      <c r="D64" s="5" t="s">
        <v>122</v>
      </c>
      <c r="E64" s="5">
        <v>15000</v>
      </c>
      <c r="F64" s="5" t="s">
        <v>125</v>
      </c>
    </row>
    <row r="65" spans="1:6" ht="13.95" customHeight="1" x14ac:dyDescent="0.3">
      <c r="A65" s="5">
        <v>4</v>
      </c>
      <c r="B65" s="5">
        <v>15</v>
      </c>
      <c r="C65" s="5" t="s">
        <v>126</v>
      </c>
      <c r="D65" s="5" t="s">
        <v>122</v>
      </c>
      <c r="E65" s="5">
        <v>17000</v>
      </c>
      <c r="F65" s="5" t="s">
        <v>127</v>
      </c>
    </row>
    <row r="66" spans="1:6" x14ac:dyDescent="0.3">
      <c r="A66" s="6" t="s">
        <v>128</v>
      </c>
    </row>
    <row r="67" spans="1:6" ht="121.5" customHeight="1" x14ac:dyDescent="0.3">
      <c r="A67" s="29" t="s">
        <v>129</v>
      </c>
      <c r="B67" s="30"/>
      <c r="C67" s="30"/>
      <c r="D67" s="30"/>
      <c r="E67" s="30"/>
      <c r="F67" s="30"/>
    </row>
    <row r="68" spans="1:6" x14ac:dyDescent="0.3">
      <c r="A68" s="6" t="s">
        <v>130</v>
      </c>
    </row>
    <row r="69" spans="1:6" ht="40.5" customHeight="1" x14ac:dyDescent="0.3">
      <c r="A69" s="29" t="s">
        <v>131</v>
      </c>
      <c r="B69" s="30"/>
      <c r="C69" s="30"/>
      <c r="D69" s="30"/>
      <c r="E69" s="30"/>
      <c r="F69" s="30"/>
    </row>
    <row r="70" spans="1:6" x14ac:dyDescent="0.3">
      <c r="A70" s="6" t="s">
        <v>132</v>
      </c>
    </row>
    <row r="71" spans="1:6" ht="27" customHeight="1" x14ac:dyDescent="0.3">
      <c r="A71" s="29" t="s">
        <v>133</v>
      </c>
      <c r="B71" s="30"/>
      <c r="C71" s="30"/>
      <c r="D71" s="30"/>
      <c r="E71" s="30"/>
      <c r="F71" s="30"/>
    </row>
    <row r="73" spans="1:6" ht="15.6" x14ac:dyDescent="0.3">
      <c r="A73" s="2" t="s">
        <v>134</v>
      </c>
      <c r="B73" s="3"/>
      <c r="C73" s="3"/>
      <c r="D73" s="3"/>
      <c r="E73" s="3"/>
      <c r="F73" s="3"/>
    </row>
    <row r="74" spans="1:6" ht="13.95" customHeight="1" x14ac:dyDescent="0.3">
      <c r="A74" s="28" t="s">
        <v>135</v>
      </c>
      <c r="B74" s="27"/>
      <c r="C74" s="28" t="s">
        <v>136</v>
      </c>
      <c r="D74" s="26"/>
      <c r="E74" s="26"/>
      <c r="F74" s="27"/>
    </row>
    <row r="75" spans="1:6" ht="40.5" customHeight="1" x14ac:dyDescent="0.3">
      <c r="A75" s="25" t="s">
        <v>137</v>
      </c>
      <c r="B75" s="27"/>
      <c r="C75" s="25" t="s">
        <v>138</v>
      </c>
      <c r="D75" s="26"/>
      <c r="E75" s="26"/>
      <c r="F75" s="27"/>
    </row>
    <row r="76" spans="1:6" ht="13.95" customHeight="1" x14ac:dyDescent="0.3">
      <c r="A76" s="25" t="s">
        <v>139</v>
      </c>
      <c r="B76" s="27"/>
      <c r="C76" s="25" t="s">
        <v>140</v>
      </c>
      <c r="D76" s="26"/>
      <c r="E76" s="26"/>
      <c r="F76" s="27"/>
    </row>
    <row r="77" spans="1:6" ht="13.95" customHeight="1" x14ac:dyDescent="0.3">
      <c r="A77" s="25" t="s">
        <v>141</v>
      </c>
      <c r="B77" s="27"/>
      <c r="C77" s="25" t="s">
        <v>142</v>
      </c>
      <c r="D77" s="26"/>
      <c r="E77" s="26"/>
      <c r="F77" s="27"/>
    </row>
    <row r="78" spans="1:6" ht="13.95" customHeight="1" x14ac:dyDescent="0.3">
      <c r="A78" s="25" t="s">
        <v>143</v>
      </c>
      <c r="B78" s="27"/>
      <c r="C78" s="25" t="s">
        <v>144</v>
      </c>
      <c r="D78" s="26"/>
      <c r="E78" s="26"/>
      <c r="F78" s="27"/>
    </row>
    <row r="79" spans="1:6" ht="13.95" customHeight="1" x14ac:dyDescent="0.3">
      <c r="A79" s="25" t="s">
        <v>145</v>
      </c>
      <c r="B79" s="27"/>
      <c r="C79" s="25" t="s">
        <v>146</v>
      </c>
      <c r="D79" s="26"/>
      <c r="E79" s="26"/>
      <c r="F79" s="27"/>
    </row>
    <row r="80" spans="1:6" ht="13.95" customHeight="1" x14ac:dyDescent="0.3">
      <c r="A80" s="25" t="s">
        <v>147</v>
      </c>
      <c r="B80" s="27"/>
      <c r="C80" s="25" t="s">
        <v>148</v>
      </c>
      <c r="D80" s="26"/>
      <c r="E80" s="26"/>
      <c r="F80" s="27"/>
    </row>
    <row r="81" spans="1:6" ht="13.95" customHeight="1" x14ac:dyDescent="0.3">
      <c r="A81" s="25" t="s">
        <v>149</v>
      </c>
      <c r="B81" s="27"/>
      <c r="C81" s="25" t="s">
        <v>150</v>
      </c>
      <c r="D81" s="26"/>
      <c r="E81" s="26"/>
      <c r="F81" s="27"/>
    </row>
    <row r="83" spans="1:6" ht="15.6" x14ac:dyDescent="0.3">
      <c r="A83" s="2" t="s">
        <v>151</v>
      </c>
      <c r="B83" s="3"/>
      <c r="C83" s="3"/>
      <c r="D83" s="3"/>
      <c r="E83" s="3"/>
      <c r="F83" s="3"/>
    </row>
    <row r="84" spans="1:6" ht="13.95" customHeight="1" x14ac:dyDescent="0.3">
      <c r="A84" s="4" t="s">
        <v>52</v>
      </c>
      <c r="B84" s="4" t="s">
        <v>152</v>
      </c>
      <c r="C84" s="28" t="s">
        <v>153</v>
      </c>
      <c r="D84" s="27"/>
      <c r="E84" s="28" t="s">
        <v>154</v>
      </c>
      <c r="F84" s="27"/>
    </row>
    <row r="85" spans="1:6" ht="13.95" customHeight="1" x14ac:dyDescent="0.3">
      <c r="A85" s="5" t="s">
        <v>61</v>
      </c>
      <c r="B85" s="5" t="s">
        <v>155</v>
      </c>
      <c r="C85" s="25" t="s">
        <v>156</v>
      </c>
      <c r="D85" s="27"/>
      <c r="E85" s="25" t="s">
        <v>157</v>
      </c>
      <c r="F85" s="27"/>
    </row>
    <row r="86" spans="1:6" ht="27" customHeight="1" x14ac:dyDescent="0.3">
      <c r="A86" s="5" t="s">
        <v>61</v>
      </c>
      <c r="B86" s="5" t="s">
        <v>158</v>
      </c>
      <c r="C86" s="25" t="s">
        <v>159</v>
      </c>
      <c r="D86" s="27"/>
      <c r="E86" s="25" t="s">
        <v>160</v>
      </c>
      <c r="F86" s="27"/>
    </row>
    <row r="87" spans="1:6" ht="27" customHeight="1" x14ac:dyDescent="0.3">
      <c r="A87" s="5" t="s">
        <v>61</v>
      </c>
      <c r="B87" s="5" t="s">
        <v>161</v>
      </c>
      <c r="C87" s="25" t="s">
        <v>162</v>
      </c>
      <c r="D87" s="27"/>
      <c r="E87" s="25" t="s">
        <v>163</v>
      </c>
      <c r="F87" s="27"/>
    </row>
    <row r="88" spans="1:6" ht="27" customHeight="1" x14ac:dyDescent="0.3">
      <c r="A88" s="5" t="s">
        <v>61</v>
      </c>
      <c r="B88" s="5" t="s">
        <v>164</v>
      </c>
      <c r="C88" s="25" t="s">
        <v>165</v>
      </c>
      <c r="D88" s="27"/>
      <c r="E88" s="25" t="s">
        <v>166</v>
      </c>
      <c r="F88" s="27"/>
    </row>
    <row r="89" spans="1:6" ht="27" customHeight="1" x14ac:dyDescent="0.3">
      <c r="A89" s="5" t="s">
        <v>61</v>
      </c>
      <c r="B89" s="5" t="s">
        <v>167</v>
      </c>
      <c r="C89" s="25" t="s">
        <v>168</v>
      </c>
      <c r="D89" s="27"/>
      <c r="E89" s="25" t="s">
        <v>169</v>
      </c>
      <c r="F89" s="27"/>
    </row>
    <row r="90" spans="1:6" ht="40.5" customHeight="1" x14ac:dyDescent="0.3">
      <c r="A90" s="5" t="s">
        <v>61</v>
      </c>
      <c r="B90" s="5" t="s">
        <v>170</v>
      </c>
      <c r="C90" s="25" t="s">
        <v>171</v>
      </c>
      <c r="D90" s="27"/>
      <c r="E90" s="25" t="s">
        <v>172</v>
      </c>
      <c r="F90" s="27"/>
    </row>
    <row r="91" spans="1:6" ht="13.95" customHeight="1" x14ac:dyDescent="0.3">
      <c r="A91" s="5" t="s">
        <v>74</v>
      </c>
      <c r="B91" s="5" t="s">
        <v>173</v>
      </c>
      <c r="C91" s="25" t="s">
        <v>174</v>
      </c>
      <c r="D91" s="27"/>
      <c r="E91" s="25" t="s">
        <v>175</v>
      </c>
      <c r="F91" s="27"/>
    </row>
    <row r="92" spans="1:6" ht="27" customHeight="1" x14ac:dyDescent="0.3">
      <c r="A92" s="5" t="s">
        <v>74</v>
      </c>
      <c r="B92" s="5" t="s">
        <v>158</v>
      </c>
      <c r="C92" s="25" t="s">
        <v>176</v>
      </c>
      <c r="D92" s="27"/>
      <c r="E92" s="25" t="s">
        <v>177</v>
      </c>
      <c r="F92" s="27"/>
    </row>
    <row r="93" spans="1:6" ht="13.95" customHeight="1" x14ac:dyDescent="0.3">
      <c r="A93" s="5" t="s">
        <v>74</v>
      </c>
      <c r="B93" s="5" t="s">
        <v>178</v>
      </c>
      <c r="C93" s="25" t="s">
        <v>179</v>
      </c>
      <c r="D93" s="27"/>
      <c r="E93" s="25" t="s">
        <v>180</v>
      </c>
      <c r="F93" s="27"/>
    </row>
    <row r="94" spans="1:6" ht="27" customHeight="1" x14ac:dyDescent="0.3">
      <c r="A94" s="5" t="s">
        <v>74</v>
      </c>
      <c r="B94" s="5" t="s">
        <v>181</v>
      </c>
      <c r="C94" s="25" t="s">
        <v>182</v>
      </c>
      <c r="D94" s="27"/>
      <c r="E94" s="25" t="s">
        <v>183</v>
      </c>
      <c r="F94" s="27"/>
    </row>
    <row r="95" spans="1:6" ht="27" customHeight="1" x14ac:dyDescent="0.3">
      <c r="A95" s="5" t="s">
        <v>74</v>
      </c>
      <c r="B95" s="5" t="s">
        <v>184</v>
      </c>
      <c r="C95" s="25" t="s">
        <v>185</v>
      </c>
      <c r="D95" s="27"/>
      <c r="E95" s="25" t="s">
        <v>186</v>
      </c>
      <c r="F95" s="27"/>
    </row>
    <row r="96" spans="1:6" ht="27" customHeight="1" x14ac:dyDescent="0.3">
      <c r="A96" s="5" t="s">
        <v>74</v>
      </c>
      <c r="B96" s="5" t="s">
        <v>187</v>
      </c>
      <c r="C96" s="25" t="s">
        <v>188</v>
      </c>
      <c r="D96" s="27"/>
      <c r="E96" s="25" t="s">
        <v>189</v>
      </c>
      <c r="F96" s="27"/>
    </row>
    <row r="97" spans="1:6" ht="27" customHeight="1" x14ac:dyDescent="0.3">
      <c r="A97" s="5" t="s">
        <v>74</v>
      </c>
      <c r="B97" s="5" t="s">
        <v>190</v>
      </c>
      <c r="C97" s="25" t="s">
        <v>191</v>
      </c>
      <c r="D97" s="27"/>
      <c r="E97" s="25" t="s">
        <v>192</v>
      </c>
      <c r="F97" s="27"/>
    </row>
    <row r="98" spans="1:6" ht="27" customHeight="1" x14ac:dyDescent="0.3">
      <c r="A98" s="5" t="s">
        <v>74</v>
      </c>
      <c r="B98" s="5" t="s">
        <v>193</v>
      </c>
      <c r="C98" s="25" t="s">
        <v>194</v>
      </c>
      <c r="D98" s="27"/>
      <c r="E98" s="25" t="s">
        <v>195</v>
      </c>
      <c r="F98" s="27"/>
    </row>
    <row r="100" spans="1:6" ht="15.6" x14ac:dyDescent="0.3">
      <c r="A100" s="2" t="s">
        <v>196</v>
      </c>
      <c r="B100" s="3"/>
      <c r="C100" s="3"/>
      <c r="D100" s="3"/>
      <c r="E100" s="3"/>
      <c r="F100" s="3"/>
    </row>
    <row r="101" spans="1:6" ht="27" customHeight="1" x14ac:dyDescent="0.3">
      <c r="A101" s="29" t="s">
        <v>197</v>
      </c>
      <c r="B101" s="30"/>
      <c r="C101" s="30"/>
      <c r="D101" s="30"/>
      <c r="E101" s="30"/>
      <c r="F101" s="30"/>
    </row>
    <row r="102" spans="1:6" ht="13.95" customHeight="1" x14ac:dyDescent="0.3">
      <c r="A102" s="4" t="s">
        <v>198</v>
      </c>
      <c r="B102" s="4" t="s">
        <v>52</v>
      </c>
      <c r="C102" s="4" t="s">
        <v>199</v>
      </c>
      <c r="D102" s="28" t="s">
        <v>200</v>
      </c>
      <c r="E102" s="27"/>
      <c r="F102" s="4" t="s">
        <v>201</v>
      </c>
    </row>
    <row r="103" spans="1:6" ht="54" customHeight="1" x14ac:dyDescent="0.3">
      <c r="A103" s="5" t="s">
        <v>202</v>
      </c>
      <c r="B103" s="5" t="s">
        <v>61</v>
      </c>
      <c r="C103" s="5" t="s">
        <v>9</v>
      </c>
      <c r="D103" s="25" t="s">
        <v>203</v>
      </c>
      <c r="E103" s="27"/>
      <c r="F103" s="5" t="s">
        <v>204</v>
      </c>
    </row>
    <row r="104" spans="1:6" ht="13.95" customHeight="1" x14ac:dyDescent="0.3">
      <c r="A104" s="5" t="s">
        <v>205</v>
      </c>
      <c r="B104" s="5" t="s">
        <v>71</v>
      </c>
      <c r="C104" s="5" t="s">
        <v>206</v>
      </c>
      <c r="D104" s="25" t="s">
        <v>207</v>
      </c>
      <c r="E104" s="27"/>
      <c r="F104" s="5"/>
    </row>
    <row r="105" spans="1:6" ht="27" customHeight="1" x14ac:dyDescent="0.3">
      <c r="A105" s="5" t="s">
        <v>208</v>
      </c>
      <c r="B105" s="5" t="s">
        <v>74</v>
      </c>
      <c r="C105" s="5" t="s">
        <v>209</v>
      </c>
      <c r="D105" s="25" t="s">
        <v>210</v>
      </c>
      <c r="E105" s="27"/>
      <c r="F105" s="5" t="s">
        <v>211</v>
      </c>
    </row>
    <row r="106" spans="1:6" ht="67.5" customHeight="1" x14ac:dyDescent="0.3">
      <c r="A106" s="5" t="s">
        <v>212</v>
      </c>
      <c r="B106" s="5" t="s">
        <v>66</v>
      </c>
      <c r="C106" s="5" t="s">
        <v>213</v>
      </c>
      <c r="D106" s="25" t="s">
        <v>214</v>
      </c>
      <c r="E106" s="27"/>
      <c r="F106" s="5" t="s">
        <v>215</v>
      </c>
    </row>
    <row r="107" spans="1:6" x14ac:dyDescent="0.3">
      <c r="A107" s="6" t="s">
        <v>216</v>
      </c>
    </row>
    <row r="108" spans="1:6" ht="94.5" customHeight="1" x14ac:dyDescent="0.3">
      <c r="A108" s="29" t="s">
        <v>217</v>
      </c>
      <c r="B108" s="30"/>
      <c r="C108" s="30"/>
      <c r="D108" s="30"/>
      <c r="E108" s="30"/>
      <c r="F108" s="30"/>
    </row>
    <row r="110" spans="1:6" ht="15.6" x14ac:dyDescent="0.3">
      <c r="A110" s="2" t="s">
        <v>218</v>
      </c>
      <c r="B110" s="3"/>
      <c r="C110" s="3"/>
      <c r="D110" s="3"/>
      <c r="E110" s="3"/>
      <c r="F110" s="3"/>
    </row>
    <row r="111" spans="1:6" ht="13.95" customHeight="1" x14ac:dyDescent="0.3">
      <c r="A111" s="4" t="s">
        <v>219</v>
      </c>
      <c r="B111" s="28" t="s">
        <v>220</v>
      </c>
      <c r="C111" s="27"/>
      <c r="D111" s="28" t="s">
        <v>221</v>
      </c>
      <c r="E111" s="26"/>
      <c r="F111" s="27"/>
    </row>
    <row r="112" spans="1:6" ht="27" customHeight="1" x14ac:dyDescent="0.3">
      <c r="A112" s="5">
        <v>1</v>
      </c>
      <c r="B112" s="25" t="s">
        <v>222</v>
      </c>
      <c r="C112" s="27"/>
      <c r="D112" s="25" t="s">
        <v>223</v>
      </c>
      <c r="E112" s="26"/>
      <c r="F112" s="27"/>
    </row>
    <row r="113" spans="1:6" ht="27" customHeight="1" x14ac:dyDescent="0.3">
      <c r="A113" s="5">
        <v>2</v>
      </c>
      <c r="B113" s="25" t="s">
        <v>224</v>
      </c>
      <c r="C113" s="27"/>
      <c r="D113" s="25" t="s">
        <v>225</v>
      </c>
      <c r="E113" s="26"/>
      <c r="F113" s="27"/>
    </row>
    <row r="114" spans="1:6" ht="27" customHeight="1" x14ac:dyDescent="0.3">
      <c r="A114" s="5">
        <v>3</v>
      </c>
      <c r="B114" s="25" t="s">
        <v>226</v>
      </c>
      <c r="C114" s="27"/>
      <c r="D114" s="25" t="s">
        <v>227</v>
      </c>
      <c r="E114" s="26"/>
      <c r="F114" s="27"/>
    </row>
    <row r="115" spans="1:6" ht="13.95" customHeight="1" x14ac:dyDescent="0.3">
      <c r="A115" s="5">
        <v>4</v>
      </c>
      <c r="B115" s="25" t="s">
        <v>228</v>
      </c>
      <c r="C115" s="27"/>
      <c r="D115" s="25" t="s">
        <v>229</v>
      </c>
      <c r="E115" s="26"/>
      <c r="F115" s="27"/>
    </row>
    <row r="116" spans="1:6" ht="13.95" customHeight="1" x14ac:dyDescent="0.3">
      <c r="A116" s="5">
        <v>5</v>
      </c>
      <c r="B116" s="25" t="s">
        <v>230</v>
      </c>
      <c r="C116" s="27"/>
      <c r="D116" s="25" t="s">
        <v>231</v>
      </c>
      <c r="E116" s="26"/>
      <c r="F116" s="27"/>
    </row>
    <row r="117" spans="1:6" ht="13.95" customHeight="1" x14ac:dyDescent="0.3">
      <c r="A117" s="5">
        <v>6</v>
      </c>
      <c r="B117" s="25" t="s">
        <v>232</v>
      </c>
      <c r="C117" s="27"/>
      <c r="D117" s="25" t="s">
        <v>233</v>
      </c>
      <c r="E117" s="26"/>
      <c r="F117" s="27"/>
    </row>
    <row r="118" spans="1:6" ht="13.95" customHeight="1" x14ac:dyDescent="0.3">
      <c r="A118" s="5">
        <v>7</v>
      </c>
      <c r="B118" s="25" t="s">
        <v>234</v>
      </c>
      <c r="C118" s="27"/>
      <c r="D118" s="25" t="s">
        <v>235</v>
      </c>
      <c r="E118" s="26"/>
      <c r="F118" s="27"/>
    </row>
    <row r="120" spans="1:6" ht="15.6" x14ac:dyDescent="0.3">
      <c r="A120" s="2" t="s">
        <v>236</v>
      </c>
      <c r="B120" s="3"/>
      <c r="C120" s="3"/>
      <c r="D120" s="3"/>
      <c r="E120" s="3"/>
      <c r="F120" s="3"/>
    </row>
    <row r="121" spans="1:6" ht="13.95" customHeight="1" x14ac:dyDescent="0.3">
      <c r="A121" s="4" t="s">
        <v>237</v>
      </c>
      <c r="B121" s="4" t="s">
        <v>238</v>
      </c>
      <c r="C121" s="28" t="s">
        <v>239</v>
      </c>
      <c r="D121" s="26"/>
      <c r="E121" s="26"/>
      <c r="F121" s="27"/>
    </row>
    <row r="122" spans="1:6" ht="13.95" customHeight="1" x14ac:dyDescent="0.3">
      <c r="A122" s="5" t="s">
        <v>240</v>
      </c>
      <c r="B122" s="5" t="s">
        <v>241</v>
      </c>
      <c r="C122" s="25" t="s">
        <v>242</v>
      </c>
      <c r="D122" s="26"/>
      <c r="E122" s="26"/>
      <c r="F122" s="27"/>
    </row>
    <row r="123" spans="1:6" ht="13.95" customHeight="1" x14ac:dyDescent="0.3">
      <c r="A123" s="5" t="s">
        <v>243</v>
      </c>
      <c r="B123" s="5" t="s">
        <v>241</v>
      </c>
      <c r="C123" s="25" t="s">
        <v>244</v>
      </c>
      <c r="D123" s="26"/>
      <c r="E123" s="26"/>
      <c r="F123" s="27"/>
    </row>
  </sheetData>
  <mergeCells count="128">
    <mergeCell ref="B12:F12"/>
    <mergeCell ref="D112:F112"/>
    <mergeCell ref="D104:E104"/>
    <mergeCell ref="B111:C111"/>
    <mergeCell ref="D118:F118"/>
    <mergeCell ref="B14:F14"/>
    <mergeCell ref="D114:F114"/>
    <mergeCell ref="C74:F74"/>
    <mergeCell ref="A67:F67"/>
    <mergeCell ref="E45:F45"/>
    <mergeCell ref="C75:F75"/>
    <mergeCell ref="A81:B81"/>
    <mergeCell ref="A50:D50"/>
    <mergeCell ref="B114:C114"/>
    <mergeCell ref="B36:C36"/>
    <mergeCell ref="E97:F97"/>
    <mergeCell ref="C96:D96"/>
    <mergeCell ref="A47:D47"/>
    <mergeCell ref="A69:F69"/>
    <mergeCell ref="E47:F47"/>
    <mergeCell ref="C87:D87"/>
    <mergeCell ref="E96:F96"/>
    <mergeCell ref="E43:F43"/>
    <mergeCell ref="B113:C113"/>
    <mergeCell ref="E24:F24"/>
    <mergeCell ref="E98:F98"/>
    <mergeCell ref="E42:F42"/>
    <mergeCell ref="A43:D43"/>
    <mergeCell ref="C88:D88"/>
    <mergeCell ref="A21:F21"/>
    <mergeCell ref="E88:F88"/>
    <mergeCell ref="A57:F57"/>
    <mergeCell ref="C123:F123"/>
    <mergeCell ref="A77:B77"/>
    <mergeCell ref="C76:F76"/>
    <mergeCell ref="E50:F50"/>
    <mergeCell ref="C86:D86"/>
    <mergeCell ref="E92:F92"/>
    <mergeCell ref="E44:F44"/>
    <mergeCell ref="D105:E105"/>
    <mergeCell ref="A71:F71"/>
    <mergeCell ref="A78:B78"/>
    <mergeCell ref="C85:D85"/>
    <mergeCell ref="C94:D94"/>
    <mergeCell ref="C77:F77"/>
    <mergeCell ref="E94:F94"/>
    <mergeCell ref="A75:B75"/>
    <mergeCell ref="C84:D84"/>
    <mergeCell ref="A80:B80"/>
    <mergeCell ref="A49:D49"/>
    <mergeCell ref="E84:F84"/>
    <mergeCell ref="A45:D45"/>
    <mergeCell ref="D113:F113"/>
    <mergeCell ref="E46:F46"/>
    <mergeCell ref="E86:F86"/>
    <mergeCell ref="C95:D95"/>
    <mergeCell ref="A2:F2"/>
    <mergeCell ref="B117:C117"/>
    <mergeCell ref="A48:D48"/>
    <mergeCell ref="B8:F8"/>
    <mergeCell ref="B17:F17"/>
    <mergeCell ref="D117:F117"/>
    <mergeCell ref="C90:D90"/>
    <mergeCell ref="B116:C116"/>
    <mergeCell ref="E90:F90"/>
    <mergeCell ref="B10:F10"/>
    <mergeCell ref="B37:C37"/>
    <mergeCell ref="D103:E103"/>
    <mergeCell ref="E26:F26"/>
    <mergeCell ref="A46:D46"/>
    <mergeCell ref="B9:F9"/>
    <mergeCell ref="A59:F59"/>
    <mergeCell ref="C91:D91"/>
    <mergeCell ref="E25:F25"/>
    <mergeCell ref="D111:F111"/>
    <mergeCell ref="B13:F13"/>
    <mergeCell ref="B34:C34"/>
    <mergeCell ref="D106:E106"/>
    <mergeCell ref="E95:F95"/>
    <mergeCell ref="E89:F89"/>
    <mergeCell ref="A5:F5"/>
    <mergeCell ref="B11:F11"/>
    <mergeCell ref="C93:D93"/>
    <mergeCell ref="A74:B74"/>
    <mergeCell ref="A51:D51"/>
    <mergeCell ref="A20:F20"/>
    <mergeCell ref="B38:C38"/>
    <mergeCell ref="C79:F79"/>
    <mergeCell ref="B112:C112"/>
    <mergeCell ref="A76:B76"/>
    <mergeCell ref="E49:F49"/>
    <mergeCell ref="E27:F27"/>
    <mergeCell ref="A41:D41"/>
    <mergeCell ref="E91:F91"/>
    <mergeCell ref="E85:F85"/>
    <mergeCell ref="B33:C33"/>
    <mergeCell ref="B15:F15"/>
    <mergeCell ref="B32:C32"/>
    <mergeCell ref="E93:F93"/>
    <mergeCell ref="A42:D42"/>
    <mergeCell ref="B35:C35"/>
    <mergeCell ref="C92:D92"/>
    <mergeCell ref="A108:F108"/>
    <mergeCell ref="C97:D97"/>
    <mergeCell ref="B16:F16"/>
    <mergeCell ref="D116:F116"/>
    <mergeCell ref="C122:F122"/>
    <mergeCell ref="C98:D98"/>
    <mergeCell ref="E23:F23"/>
    <mergeCell ref="C89:D89"/>
    <mergeCell ref="B115:C115"/>
    <mergeCell ref="B31:C31"/>
    <mergeCell ref="C81:F81"/>
    <mergeCell ref="A55:F55"/>
    <mergeCell ref="A44:D44"/>
    <mergeCell ref="E51:F51"/>
    <mergeCell ref="E87:F87"/>
    <mergeCell ref="C78:F78"/>
    <mergeCell ref="C121:F121"/>
    <mergeCell ref="E48:F48"/>
    <mergeCell ref="A79:B79"/>
    <mergeCell ref="A101:F101"/>
    <mergeCell ref="B118:C118"/>
    <mergeCell ref="D115:F115"/>
    <mergeCell ref="D102:E102"/>
    <mergeCell ref="B30:C30"/>
    <mergeCell ref="C80:F80"/>
    <mergeCell ref="E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14" sqref="N14"/>
    </sheetView>
  </sheetViews>
  <sheetFormatPr defaultRowHeight="14.4" x14ac:dyDescent="0.3"/>
  <cols>
    <col min="1" max="1" width="10" customWidth="1"/>
    <col min="2" max="2" width="12" customWidth="1"/>
    <col min="3" max="3" width="9" hidden="1" customWidth="1"/>
    <col min="4" max="4" width="18" customWidth="1"/>
    <col min="5" max="5" width="9" hidden="1" customWidth="1"/>
    <col min="6" max="6" width="28" customWidth="1"/>
    <col min="7" max="7" width="9" hidden="1" customWidth="1"/>
    <col min="8" max="8" width="14" customWidth="1"/>
    <col min="9" max="9" width="9" hidden="1" customWidth="1"/>
    <col min="10" max="10" width="34" customWidth="1"/>
    <col min="11" max="11" width="9" hidden="1" customWidth="1"/>
    <col min="12" max="12" width="44" customWidth="1"/>
    <col min="13" max="13" width="9" hidden="1" customWidth="1"/>
    <col min="14" max="14" width="15" customWidth="1"/>
    <col min="15" max="15" width="9" hidden="1" customWidth="1"/>
    <col min="16" max="16" width="38" customWidth="1"/>
    <col min="17" max="17" width="9" hidden="1" customWidth="1"/>
    <col min="18" max="18" width="20" customWidth="1"/>
    <col min="19" max="19" width="9" hidden="1" customWidth="1"/>
    <col min="20" max="20" width="34" customWidth="1"/>
    <col min="21" max="21" width="9" hidden="1" customWidth="1"/>
    <col min="22" max="22" width="20" customWidth="1"/>
    <col min="23" max="23" width="9" hidden="1" customWidth="1"/>
    <col min="24" max="24" width="40" customWidth="1"/>
    <col min="25" max="25" width="9" hidden="1" customWidth="1"/>
    <col min="26" max="27" width="12" customWidth="1"/>
    <col min="28" max="28" width="24" customWidth="1"/>
    <col min="29" max="29" width="34" customWidth="1"/>
  </cols>
  <sheetData>
    <row r="1" spans="1:29" ht="31.95" customHeight="1" x14ac:dyDescent="0.3">
      <c r="A1" s="7" t="s">
        <v>9</v>
      </c>
      <c r="B1" s="7" t="s">
        <v>245</v>
      </c>
      <c r="C1" s="8" t="s">
        <v>246</v>
      </c>
      <c r="D1" s="7" t="s">
        <v>247</v>
      </c>
      <c r="E1" s="8" t="s">
        <v>248</v>
      </c>
      <c r="F1" s="7" t="s">
        <v>249</v>
      </c>
      <c r="G1" s="8" t="s">
        <v>250</v>
      </c>
      <c r="H1" s="7" t="s">
        <v>251</v>
      </c>
      <c r="I1" s="8" t="s">
        <v>252</v>
      </c>
      <c r="J1" s="7" t="s">
        <v>253</v>
      </c>
      <c r="K1" s="8" t="s">
        <v>254</v>
      </c>
      <c r="L1" s="7" t="s">
        <v>255</v>
      </c>
      <c r="M1" s="8" t="s">
        <v>256</v>
      </c>
      <c r="N1" s="7" t="s">
        <v>257</v>
      </c>
      <c r="O1" s="8" t="s">
        <v>258</v>
      </c>
      <c r="P1" s="7" t="s">
        <v>11</v>
      </c>
      <c r="Q1" s="8" t="s">
        <v>259</v>
      </c>
      <c r="R1" s="7" t="s">
        <v>260</v>
      </c>
      <c r="S1" s="8" t="s">
        <v>261</v>
      </c>
      <c r="T1" s="7" t="s">
        <v>13</v>
      </c>
      <c r="U1" s="8" t="s">
        <v>262</v>
      </c>
      <c r="V1" s="7" t="s">
        <v>263</v>
      </c>
      <c r="W1" s="8" t="s">
        <v>264</v>
      </c>
      <c r="X1" s="7" t="s">
        <v>265</v>
      </c>
      <c r="Y1" s="8" t="s">
        <v>206</v>
      </c>
      <c r="Z1" s="7" t="s">
        <v>266</v>
      </c>
      <c r="AA1" s="7" t="s">
        <v>267</v>
      </c>
      <c r="AB1" s="7" t="s">
        <v>268</v>
      </c>
      <c r="AC1" s="8" t="s">
        <v>269</v>
      </c>
    </row>
    <row r="2" spans="1:29" x14ac:dyDescent="0.3">
      <c r="A2" s="9" t="s">
        <v>270</v>
      </c>
      <c r="B2" s="9" t="s">
        <v>271</v>
      </c>
      <c r="C2" s="10" t="str">
        <f>IF(B2="","",IFERROR(INDEX(Справочники!$A$2:$A$500,MATCH(B2,Справочники!$B$2:$B$500,0)),"!нет в справочнике"))</f>
        <v>DC-01</v>
      </c>
      <c r="D2" s="9" t="s">
        <v>272</v>
      </c>
      <c r="E2" s="10" t="str">
        <f>IF(D2="","",IFERROR(INDEX(Справочники!$D$2:$D$500,MATCH(D2,Справочники!$E$2:$E$500,0)),"!нет в справочнике"))</f>
        <v>CFO-01</v>
      </c>
      <c r="F2" s="9" t="s">
        <v>273</v>
      </c>
      <c r="G2" s="10" t="str">
        <f>IF(F2="","",IFERROR(INDEX(Справочники!$G$2:$G$500,MATCH(F2,Справочники!$H$2:$H$500,0)),"!нет в справочнике"))</f>
        <v>DEP-01</v>
      </c>
      <c r="H2" s="9" t="s">
        <v>274</v>
      </c>
      <c r="I2" s="10" t="str">
        <f>IF(H2="","",IFERROR(INDEX(Справочники!$J$2:$J$500,MATCH(H2,Справочники!$K$2:$K$500,0)),"!нет в справочнике"))</f>
        <v>BR-01</v>
      </c>
      <c r="J2" s="9" t="s">
        <v>275</v>
      </c>
      <c r="K2" s="10" t="str">
        <f>IF(J2="","",IFERROR(INDEX(Справочники!$M$2:$M$500,MATCH(J2,Справочники!$N$2:$N$500,0)),"!нет в справочнике"))</f>
        <v>POS-001</v>
      </c>
      <c r="L2" s="9" t="s">
        <v>32</v>
      </c>
      <c r="M2" s="10" t="str">
        <f>IF(L2="","",IFERROR(INDEX(Справочники!$P$2:$P$500,MATCH(L2,Справочники!$Q$2:$Q$500,0)),"!нет в справочнике"))</f>
        <v>BT-001</v>
      </c>
      <c r="N2" s="9" t="s">
        <v>276</v>
      </c>
      <c r="O2" s="10" t="str">
        <f>IF(N2="","",IFERROR(INDEX(Справочники!$W$2:$W$500,MATCH(N2,Справочники!$X$2:$X$500,0)),"!нет в справочнике"))</f>
        <v>MONTH</v>
      </c>
      <c r="P2" s="9" t="s">
        <v>277</v>
      </c>
      <c r="Q2" s="10" t="str">
        <f>IF(P2="","",IFERROR(INDEX(Справочники!$S$2:$S$500,MATCH(P2,Справочники!$T$2:$T$500,0)),"!нет в справочнике"))</f>
        <v>KPI-001</v>
      </c>
      <c r="R2" s="9" t="s">
        <v>278</v>
      </c>
      <c r="S2" s="10" t="str">
        <f>IF(R2="","",IFERROR(INDEX(Справочники!$Z$2:$Z$500,MATCH(R2,Справочники!$AA$2:$AA$500,0)),"!нет в справочнике"))</f>
        <v>FACT</v>
      </c>
      <c r="T2" s="9" t="s">
        <v>277</v>
      </c>
      <c r="U2" s="10" t="str">
        <f>IF(T2="","",IFERROR(INDEX(Справочники!$S$2:$S$500,MATCH(T2,Справочники!$T$2:$T$500,0)),"!нет в справочнике"))</f>
        <v>KPI-001</v>
      </c>
      <c r="V2" s="9" t="s">
        <v>278</v>
      </c>
      <c r="W2" s="10" t="str">
        <f>IF(V2="","",IFERROR(INDEX(Справочники!$Z$2:$Z$500,MATCH(V2,Справочники!$AA$2:$AA$500,0)),"!нет в справочнике"))</f>
        <v>FACT</v>
      </c>
      <c r="X2" s="9" t="s">
        <v>279</v>
      </c>
      <c r="Y2" s="10" t="str">
        <f>IF(X2="","",IFERROR(INDEX(Шкалы!$A$2:$A$500,MATCH(X2,Шкалы!$B$2:$B$500,0)),"!нет в справочнике"))</f>
        <v>SC-001</v>
      </c>
      <c r="Z2" s="11">
        <v>46023</v>
      </c>
      <c r="AA2" s="11"/>
      <c r="AB2" s="9"/>
      <c r="AC2" s="10" t="str">
        <f>IF(A2="","",IF(COUNTIF($A$2:$A$500,A2)&gt;1,"Дубль код_ПОТ",IF(COUNTBLANK(B2:Z2)&gt;0,"Не заполнены обязательные поля",IF(COUNTIF(C2:Y2,"!*")&gt;0,"Значение не найдено в справочнике",IF(AND(AA2&lt;&gt;"",N(AA2)&lt;N(Z2)),"дата_окончания раньше дата_начала",IF(COUNTIF(Шкалы_ступени!$B$2:$B$500,Y2)=0,"У шкалы нет ступеней",IF(SUMPRODUCT(($C$2:$C$500=C2)*($E$2:$E$500=E2)*($G$2:$G$500=G2)*($I$2:$I$500=I2)*($K$2:$K$500=K2)*($M$2:$M$500=M2)*(ROW($A$2:$A$500)&lt;&gt;ROW())*($Z$2:$Z$500&lt;=(AA2="")*1E+99+N(AA2))*((($AA$2:$AA$500="")*1E+99+$AA$2:$AA$500)&gt;=N(Z2)))&gt;0,"Пересечение со строкой с тем же набором атрибутов","ОК")))))))</f>
        <v>ОК</v>
      </c>
    </row>
    <row r="3" spans="1:29" x14ac:dyDescent="0.3">
      <c r="A3" s="9" t="s">
        <v>280</v>
      </c>
      <c r="B3" s="9" t="s">
        <v>271</v>
      </c>
      <c r="C3" s="10" t="str">
        <f>IF(B3="","",IFERROR(INDEX(Справочники!$A$2:$A$500,MATCH(B3,Справочники!$B$2:$B$500,0)),"!нет в справочнике"))</f>
        <v>DC-01</v>
      </c>
      <c r="D3" s="9" t="s">
        <v>272</v>
      </c>
      <c r="E3" s="10" t="str">
        <f>IF(D3="","",IFERROR(INDEX(Справочники!$D$2:$D$500,MATCH(D3,Справочники!$E$2:$E$500,0)),"!нет в справочнике"))</f>
        <v>CFO-01</v>
      </c>
      <c r="F3" s="9" t="s">
        <v>273</v>
      </c>
      <c r="G3" s="10" t="str">
        <f>IF(F3="","",IFERROR(INDEX(Справочники!$G$2:$G$500,MATCH(F3,Справочники!$H$2:$H$500,0)),"!нет в справочнике"))</f>
        <v>DEP-01</v>
      </c>
      <c r="H3" s="9" t="s">
        <v>274</v>
      </c>
      <c r="I3" s="10" t="str">
        <f>IF(H3="","",IFERROR(INDEX(Справочники!$J$2:$J$500,MATCH(H3,Справочники!$K$2:$K$500,0)),"!нет в справочнике"))</f>
        <v>BR-01</v>
      </c>
      <c r="J3" s="9" t="s">
        <v>275</v>
      </c>
      <c r="K3" s="10" t="str">
        <f>IF(J3="","",IFERROR(INDEX(Справочники!$M$2:$M$500,MATCH(J3,Справочники!$N$2:$N$500,0)),"!нет в справочнике"))</f>
        <v>POS-001</v>
      </c>
      <c r="L3" s="9" t="s">
        <v>281</v>
      </c>
      <c r="M3" s="10" t="str">
        <f>IF(L3="","",IFERROR(INDEX(Справочники!$P$2:$P$500,MATCH(L3,Справочники!$Q$2:$Q$500,0)),"!нет в справочнике"))</f>
        <v>BT-002</v>
      </c>
      <c r="N3" s="9" t="s">
        <v>276</v>
      </c>
      <c r="O3" s="10" t="str">
        <f>IF(N3="","",IFERROR(INDEX(Справочники!$W$2:$W$500,MATCH(N3,Справочники!$X$2:$X$500,0)),"!нет в справочнике"))</f>
        <v>MONTH</v>
      </c>
      <c r="P3" s="9" t="s">
        <v>282</v>
      </c>
      <c r="Q3" s="10" t="str">
        <f>IF(P3="","",IFERROR(INDEX(Справочники!$S$2:$S$500,MATCH(P3,Справочники!$T$2:$T$500,0)),"!нет в справочнике"))</f>
        <v>KPI-002</v>
      </c>
      <c r="R3" s="9" t="s">
        <v>278</v>
      </c>
      <c r="S3" s="10" t="str">
        <f>IF(R3="","",IFERROR(INDEX(Справочники!$Z$2:$Z$500,MATCH(R3,Справочники!$AA$2:$AA$500,0)),"!нет в справочнике"))</f>
        <v>FACT</v>
      </c>
      <c r="T3" s="9" t="s">
        <v>277</v>
      </c>
      <c r="U3" s="10" t="str">
        <f>IF(T3="","",IFERROR(INDEX(Справочники!$S$2:$S$500,MATCH(T3,Справочники!$T$2:$T$500,0)),"!нет в справочнике"))</f>
        <v>KPI-001</v>
      </c>
      <c r="V3" s="9" t="s">
        <v>278</v>
      </c>
      <c r="W3" s="10" t="str">
        <f>IF(V3="","",IFERROR(INDEX(Справочники!$Z$2:$Z$500,MATCH(V3,Справочники!$AA$2:$AA$500,0)),"!нет в справочнике"))</f>
        <v>FACT</v>
      </c>
      <c r="X3" s="9" t="s">
        <v>283</v>
      </c>
      <c r="Y3" s="10" t="str">
        <f>IF(X3="","",IFERROR(INDEX(Шкалы!$A$2:$A$500,MATCH(X3,Шкалы!$B$2:$B$500,0)),"!нет в справочнике"))</f>
        <v>SC-002</v>
      </c>
      <c r="Z3" s="11">
        <v>46023</v>
      </c>
      <c r="AA3" s="11"/>
      <c r="AB3" s="9"/>
      <c r="AC3" s="10" t="str">
        <f>IF(A3="","",IF(COUNTIF($A$2:$A$500,A3)&gt;1,"Дубль код_ПОТ",IF(COUNTBLANK(B3:Z3)&gt;0,"Не заполнены обязательные поля",IF(COUNTIF(C3:Y3,"!*")&gt;0,"Значение не найдено в справочнике",IF(AND(AA3&lt;&gt;"",N(AA3)&lt;N(Z3)),"дата_окончания раньше дата_начала",IF(COUNTIF(Шкалы_ступени!$B$2:$B$500,Y3)=0,"У шкалы нет ступеней",IF(SUMPRODUCT(($C$2:$C$500=C3)*($E$2:$E$500=E3)*($G$2:$G$500=G3)*($I$2:$I$500=I3)*($K$2:$K$500=K3)*($M$2:$M$500=M3)*(ROW($A$2:$A$500)&lt;&gt;ROW())*($Z$2:$Z$500&lt;=(AA3="")*1E+99+N(AA3))*((($AA$2:$AA$500="")*1E+99+$AA$2:$AA$500)&gt;=N(Z3)))&gt;0,"Пересечение со строкой с тем же набором атрибутов","ОК")))))))</f>
        <v>ОК</v>
      </c>
    </row>
    <row r="4" spans="1:29" x14ac:dyDescent="0.3">
      <c r="A4" s="9" t="s">
        <v>284</v>
      </c>
      <c r="B4" s="9" t="s">
        <v>271</v>
      </c>
      <c r="C4" s="10" t="str">
        <f>IF(B4="","",IFERROR(INDEX(Справочники!$A$2:$A$500,MATCH(B4,Справочники!$B$2:$B$500,0)),"!нет в справочнике"))</f>
        <v>DC-01</v>
      </c>
      <c r="D4" s="9" t="s">
        <v>272</v>
      </c>
      <c r="E4" s="10" t="str">
        <f>IF(D4="","",IFERROR(INDEX(Справочники!$D$2:$D$500,MATCH(D4,Справочники!$E$2:$E$500,0)),"!нет в справочнике"))</f>
        <v>CFO-01</v>
      </c>
      <c r="F4" s="9" t="s">
        <v>273</v>
      </c>
      <c r="G4" s="10" t="str">
        <f>IF(F4="","",IFERROR(INDEX(Справочники!$G$2:$G$500,MATCH(F4,Справочники!$H$2:$H$500,0)),"!нет в справочнике"))</f>
        <v>DEP-01</v>
      </c>
      <c r="H4" s="9" t="s">
        <v>285</v>
      </c>
      <c r="I4" s="10" t="str">
        <f>IF(H4="","",IFERROR(INDEX(Справочники!$J$2:$J$500,MATCH(H4,Справочники!$K$2:$K$500,0)),"!нет в справочнике"))</f>
        <v>BR-02</v>
      </c>
      <c r="J4" s="9" t="s">
        <v>275</v>
      </c>
      <c r="K4" s="10" t="str">
        <f>IF(J4="","",IFERROR(INDEX(Справочники!$M$2:$M$500,MATCH(J4,Справочники!$N$2:$N$500,0)),"!нет в справочнике"))</f>
        <v>POS-001</v>
      </c>
      <c r="L4" s="9" t="s">
        <v>32</v>
      </c>
      <c r="M4" s="10" t="str">
        <f>IF(L4="","",IFERROR(INDEX(Справочники!$P$2:$P$500,MATCH(L4,Справочники!$Q$2:$Q$500,0)),"!нет в справочнике"))</f>
        <v>BT-001</v>
      </c>
      <c r="N4" s="9" t="s">
        <v>276</v>
      </c>
      <c r="O4" s="10" t="str">
        <f>IF(N4="","",IFERROR(INDEX(Справочники!$W$2:$W$500,MATCH(N4,Справочники!$X$2:$X$500,0)),"!нет в справочнике"))</f>
        <v>MONTH</v>
      </c>
      <c r="P4" s="9" t="s">
        <v>277</v>
      </c>
      <c r="Q4" s="10" t="str">
        <f>IF(P4="","",IFERROR(INDEX(Справочники!$S$2:$S$500,MATCH(P4,Справочники!$T$2:$T$500,0)),"!нет в справочнике"))</f>
        <v>KPI-001</v>
      </c>
      <c r="R4" s="9" t="s">
        <v>278</v>
      </c>
      <c r="S4" s="10" t="str">
        <f>IF(R4="","",IFERROR(INDEX(Справочники!$Z$2:$Z$500,MATCH(R4,Справочники!$AA$2:$AA$500,0)),"!нет в справочнике"))</f>
        <v>FACT</v>
      </c>
      <c r="T4" s="9" t="s">
        <v>277</v>
      </c>
      <c r="U4" s="10" t="str">
        <f>IF(T4="","",IFERROR(INDEX(Справочники!$S$2:$S$500,MATCH(T4,Справочники!$T$2:$T$500,0)),"!нет в справочнике"))</f>
        <v>KPI-001</v>
      </c>
      <c r="V4" s="9" t="s">
        <v>278</v>
      </c>
      <c r="W4" s="10" t="str">
        <f>IF(V4="","",IFERROR(INDEX(Справочники!$Z$2:$Z$500,MATCH(V4,Справочники!$AA$2:$AA$500,0)),"!нет в справочнике"))</f>
        <v>FACT</v>
      </c>
      <c r="X4" s="9" t="s">
        <v>279</v>
      </c>
      <c r="Y4" s="10" t="str">
        <f>IF(X4="","",IFERROR(INDEX(Шкалы!$A$2:$A$500,MATCH(X4,Шкалы!$B$2:$B$500,0)),"!нет в справочнике"))</f>
        <v>SC-001</v>
      </c>
      <c r="Z4" s="11">
        <v>46023</v>
      </c>
      <c r="AA4" s="11"/>
      <c r="AB4" s="9"/>
      <c r="AC4" s="10" t="str">
        <f>IF(A4="","",IF(COUNTIF($A$2:$A$500,A4)&gt;1,"Дубль код_ПОТ",IF(COUNTBLANK(B4:Z4)&gt;0,"Не заполнены обязательные поля",IF(COUNTIF(C4:Y4,"!*")&gt;0,"Значение не найдено в справочнике",IF(AND(AA4&lt;&gt;"",N(AA4)&lt;N(Z4)),"дата_окончания раньше дата_начала",IF(COUNTIF(Шкалы_ступени!$B$2:$B$500,Y4)=0,"У шкалы нет ступеней",IF(SUMPRODUCT(($C$2:$C$500=C4)*($E$2:$E$500=E4)*($G$2:$G$500=G4)*($I$2:$I$500=I4)*($K$2:$K$500=K4)*($M$2:$M$500=M4)*(ROW($A$2:$A$500)&lt;&gt;ROW())*($Z$2:$Z$500&lt;=(AA4="")*1E+99+N(AA4))*((($AA$2:$AA$500="")*1E+99+$AA$2:$AA$500)&gt;=N(Z4)))&gt;0,"Пересечение со строкой с тем же набором атрибутов","ОК")))))))</f>
        <v>ОК</v>
      </c>
    </row>
    <row r="5" spans="1:29" x14ac:dyDescent="0.3">
      <c r="A5" s="9" t="s">
        <v>286</v>
      </c>
      <c r="B5" s="9" t="s">
        <v>271</v>
      </c>
      <c r="C5" s="10" t="str">
        <f>IF(B5="","",IFERROR(INDEX(Справочники!$A$2:$A$500,MATCH(B5,Справочники!$B$2:$B$500,0)),"!нет в справочнике"))</f>
        <v>DC-01</v>
      </c>
      <c r="D5" s="9" t="s">
        <v>272</v>
      </c>
      <c r="E5" s="10" t="str">
        <f>IF(D5="","",IFERROR(INDEX(Справочники!$D$2:$D$500,MATCH(D5,Справочники!$E$2:$E$500,0)),"!нет в справочнике"))</f>
        <v>CFO-01</v>
      </c>
      <c r="F5" s="9" t="s">
        <v>273</v>
      </c>
      <c r="G5" s="10" t="str">
        <f>IF(F5="","",IFERROR(INDEX(Справочники!$G$2:$G$500,MATCH(F5,Справочники!$H$2:$H$500,0)),"!нет в справочнике"))</f>
        <v>DEP-01</v>
      </c>
      <c r="H5" s="9" t="s">
        <v>285</v>
      </c>
      <c r="I5" s="10" t="str">
        <f>IF(H5="","",IFERROR(INDEX(Справочники!$J$2:$J$500,MATCH(H5,Справочники!$K$2:$K$500,0)),"!нет в справочнике"))</f>
        <v>BR-02</v>
      </c>
      <c r="J5" s="9" t="s">
        <v>275</v>
      </c>
      <c r="K5" s="10" t="str">
        <f>IF(J5="","",IFERROR(INDEX(Справочники!$M$2:$M$500,MATCH(J5,Справочники!$N$2:$N$500,0)),"!нет в справочнике"))</f>
        <v>POS-001</v>
      </c>
      <c r="L5" s="9" t="s">
        <v>281</v>
      </c>
      <c r="M5" s="10" t="str">
        <f>IF(L5="","",IFERROR(INDEX(Справочники!$P$2:$P$500,MATCH(L5,Справочники!$Q$2:$Q$500,0)),"!нет в справочнике"))</f>
        <v>BT-002</v>
      </c>
      <c r="N5" s="9" t="s">
        <v>276</v>
      </c>
      <c r="O5" s="10" t="str">
        <f>IF(N5="","",IFERROR(INDEX(Справочники!$W$2:$W$500,MATCH(N5,Справочники!$X$2:$X$500,0)),"!нет в справочнике"))</f>
        <v>MONTH</v>
      </c>
      <c r="P5" s="9" t="s">
        <v>282</v>
      </c>
      <c r="Q5" s="10" t="str">
        <f>IF(P5="","",IFERROR(INDEX(Справочники!$S$2:$S$500,MATCH(P5,Справочники!$T$2:$T$500,0)),"!нет в справочнике"))</f>
        <v>KPI-002</v>
      </c>
      <c r="R5" s="9" t="s">
        <v>278</v>
      </c>
      <c r="S5" s="10" t="str">
        <f>IF(R5="","",IFERROR(INDEX(Справочники!$Z$2:$Z$500,MATCH(R5,Справочники!$AA$2:$AA$500,0)),"!нет в справочнике"))</f>
        <v>FACT</v>
      </c>
      <c r="T5" s="9" t="s">
        <v>277</v>
      </c>
      <c r="U5" s="10" t="str">
        <f>IF(T5="","",IFERROR(INDEX(Справочники!$S$2:$S$500,MATCH(T5,Справочники!$T$2:$T$500,0)),"!нет в справочнике"))</f>
        <v>KPI-001</v>
      </c>
      <c r="V5" s="9" t="s">
        <v>278</v>
      </c>
      <c r="W5" s="10" t="str">
        <f>IF(V5="","",IFERROR(INDEX(Справочники!$Z$2:$Z$500,MATCH(V5,Справочники!$AA$2:$AA$500,0)),"!нет в справочнике"))</f>
        <v>FACT</v>
      </c>
      <c r="X5" s="9" t="s">
        <v>283</v>
      </c>
      <c r="Y5" s="10" t="str">
        <f>IF(X5="","",IFERROR(INDEX(Шкалы!$A$2:$A$500,MATCH(X5,Шкалы!$B$2:$B$500,0)),"!нет в справочнике"))</f>
        <v>SC-002</v>
      </c>
      <c r="Z5" s="11">
        <v>46023</v>
      </c>
      <c r="AA5" s="11"/>
      <c r="AB5" s="9"/>
      <c r="AC5" s="10" t="str">
        <f>IF(A5="","",IF(COUNTIF($A$2:$A$500,A5)&gt;1,"Дубль код_ПОТ",IF(COUNTBLANK(B5:Z5)&gt;0,"Не заполнены обязательные поля",IF(COUNTIF(C5:Y5,"!*")&gt;0,"Значение не найдено в справочнике",IF(AND(AA5&lt;&gt;"",N(AA5)&lt;N(Z5)),"дата_окончания раньше дата_начала",IF(COUNTIF(Шкалы_ступени!$B$2:$B$500,Y5)=0,"У шкалы нет ступеней",IF(SUMPRODUCT(($C$2:$C$500=C5)*($E$2:$E$500=E5)*($G$2:$G$500=G5)*($I$2:$I$500=I5)*($K$2:$K$500=K5)*($M$2:$M$500=M5)*(ROW($A$2:$A$500)&lt;&gt;ROW())*($Z$2:$Z$500&lt;=(AA5="")*1E+99+N(AA5))*((($AA$2:$AA$500="")*1E+99+$AA$2:$AA$500)&gt;=N(Z5)))&gt;0,"Пересечение со строкой с тем же набором атрибутов","ОК")))))))</f>
        <v>ОК</v>
      </c>
    </row>
    <row r="6" spans="1:29" x14ac:dyDescent="0.3">
      <c r="A6" s="9" t="s">
        <v>287</v>
      </c>
      <c r="B6" s="9" t="s">
        <v>288</v>
      </c>
      <c r="C6" s="10" t="str">
        <f>IF(B6="","",IFERROR(INDEX(Справочники!$A$2:$A$500,MATCH(B6,Справочники!$B$2:$B$500,0)),"!нет в справочнике"))</f>
        <v>DC-02</v>
      </c>
      <c r="D6" s="9" t="s">
        <v>272</v>
      </c>
      <c r="E6" s="10" t="str">
        <f>IF(D6="","",IFERROR(INDEX(Справочники!$D$2:$D$500,MATCH(D6,Справочники!$E$2:$E$500,0)),"!нет в справочнике"))</f>
        <v>CFO-01</v>
      </c>
      <c r="F6" s="9" t="s">
        <v>273</v>
      </c>
      <c r="G6" s="10" t="str">
        <f>IF(F6="","",IFERROR(INDEX(Справочники!$G$2:$G$500,MATCH(F6,Справочники!$H$2:$H$500,0)),"!нет в справочнике"))</f>
        <v>DEP-01</v>
      </c>
      <c r="H6" s="9" t="s">
        <v>289</v>
      </c>
      <c r="I6" s="10" t="str">
        <f>IF(H6="","",IFERROR(INDEX(Справочники!$J$2:$J$500,MATCH(H6,Справочники!$K$2:$K$500,0)),"!нет в справочнике"))</f>
        <v>BR-03</v>
      </c>
      <c r="J6" s="9" t="s">
        <v>275</v>
      </c>
      <c r="K6" s="10" t="str">
        <f>IF(J6="","",IFERROR(INDEX(Справочники!$M$2:$M$500,MATCH(J6,Справочники!$N$2:$N$500,0)),"!нет в справочнике"))</f>
        <v>POS-001</v>
      </c>
      <c r="L6" s="9" t="s">
        <v>32</v>
      </c>
      <c r="M6" s="10" t="str">
        <f>IF(L6="","",IFERROR(INDEX(Справочники!$P$2:$P$500,MATCH(L6,Справочники!$Q$2:$Q$500,0)),"!нет в справочнике"))</f>
        <v>BT-001</v>
      </c>
      <c r="N6" s="9" t="s">
        <v>276</v>
      </c>
      <c r="O6" s="10" t="str">
        <f>IF(N6="","",IFERROR(INDEX(Справочники!$W$2:$W$500,MATCH(N6,Справочники!$X$2:$X$500,0)),"!нет в справочнике"))</f>
        <v>MONTH</v>
      </c>
      <c r="P6" s="9" t="s">
        <v>277</v>
      </c>
      <c r="Q6" s="10" t="str">
        <f>IF(P6="","",IFERROR(INDEX(Справочники!$S$2:$S$500,MATCH(P6,Справочники!$T$2:$T$500,0)),"!нет в справочнике"))</f>
        <v>KPI-001</v>
      </c>
      <c r="R6" s="9" t="s">
        <v>278</v>
      </c>
      <c r="S6" s="10" t="str">
        <f>IF(R6="","",IFERROR(INDEX(Справочники!$Z$2:$Z$500,MATCH(R6,Справочники!$AA$2:$AA$500,0)),"!нет в справочнике"))</f>
        <v>FACT</v>
      </c>
      <c r="T6" s="9" t="s">
        <v>277</v>
      </c>
      <c r="U6" s="10" t="str">
        <f>IF(T6="","",IFERROR(INDEX(Справочники!$S$2:$S$500,MATCH(T6,Справочники!$T$2:$T$500,0)),"!нет в справочнике"))</f>
        <v>KPI-001</v>
      </c>
      <c r="V6" s="9" t="s">
        <v>278</v>
      </c>
      <c r="W6" s="10" t="str">
        <f>IF(V6="","",IFERROR(INDEX(Справочники!$Z$2:$Z$500,MATCH(V6,Справочники!$AA$2:$AA$500,0)),"!нет в справочнике"))</f>
        <v>FACT</v>
      </c>
      <c r="X6" s="9" t="s">
        <v>279</v>
      </c>
      <c r="Y6" s="10" t="str">
        <f>IF(X6="","",IFERROR(INDEX(Шкалы!$A$2:$A$500,MATCH(X6,Шкалы!$B$2:$B$500,0)),"!нет в справочнике"))</f>
        <v>SC-001</v>
      </c>
      <c r="Z6" s="11">
        <v>46023</v>
      </c>
      <c r="AA6" s="11"/>
      <c r="AB6" s="9"/>
      <c r="AC6" s="10" t="str">
        <f>IF(A6="","",IF(COUNTIF($A$2:$A$500,A6)&gt;1,"Дубль код_ПОТ",IF(COUNTBLANK(B6:Z6)&gt;0,"Не заполнены обязательные поля",IF(COUNTIF(C6:Y6,"!*")&gt;0,"Значение не найдено в справочнике",IF(AND(AA6&lt;&gt;"",N(AA6)&lt;N(Z6)),"дата_окончания раньше дата_начала",IF(COUNTIF(Шкалы_ступени!$B$2:$B$500,Y6)=0,"У шкалы нет ступеней",IF(SUMPRODUCT(($C$2:$C$500=C6)*($E$2:$E$500=E6)*($G$2:$G$500=G6)*($I$2:$I$500=I6)*($K$2:$K$500=K6)*($M$2:$M$500=M6)*(ROW($A$2:$A$500)&lt;&gt;ROW())*($Z$2:$Z$500&lt;=(AA6="")*1E+99+N(AA6))*((($AA$2:$AA$500="")*1E+99+$AA$2:$AA$500)&gt;=N(Z6)))&gt;0,"Пересечение со строкой с тем же набором атрибутов","ОК")))))))</f>
        <v>ОК</v>
      </c>
    </row>
    <row r="7" spans="1:29" x14ac:dyDescent="0.3">
      <c r="A7" s="9" t="s">
        <v>290</v>
      </c>
      <c r="B7" s="9" t="s">
        <v>271</v>
      </c>
      <c r="C7" s="10" t="str">
        <f>IF(B7="","",IFERROR(INDEX(Справочники!$A$2:$A$500,MATCH(B7,Справочники!$B$2:$B$500,0)),"!нет в справочнике"))</f>
        <v>DC-01</v>
      </c>
      <c r="D7" s="9" t="s">
        <v>291</v>
      </c>
      <c r="E7" s="10" t="str">
        <f>IF(D7="","",IFERROR(INDEX(Справочники!$D$2:$D$500,MATCH(D7,Справочники!$E$2:$E$500,0)),"!нет в справочнике"))</f>
        <v>CFO-03</v>
      </c>
      <c r="F7" s="9" t="s">
        <v>292</v>
      </c>
      <c r="G7" s="10" t="str">
        <f>IF(F7="","",IFERROR(INDEX(Справочники!$G$2:$G$500,MATCH(F7,Справочники!$H$2:$H$500,0)),"!нет в справочнике"))</f>
        <v>DEP-03</v>
      </c>
      <c r="H7" s="9" t="s">
        <v>274</v>
      </c>
      <c r="I7" s="10" t="str">
        <f>IF(H7="","",IFERROR(INDEX(Справочники!$J$2:$J$500,MATCH(H7,Справочники!$K$2:$K$500,0)),"!нет в справочнике"))</f>
        <v>BR-01</v>
      </c>
      <c r="J7" s="9" t="s">
        <v>293</v>
      </c>
      <c r="K7" s="10" t="str">
        <f>IF(J7="","",IFERROR(INDEX(Справочники!$M$2:$M$500,MATCH(J7,Справочники!$N$2:$N$500,0)),"!нет в справочнике"))</f>
        <v>POS-002</v>
      </c>
      <c r="L7" s="9" t="s">
        <v>294</v>
      </c>
      <c r="M7" s="10" t="str">
        <f>IF(L7="","",IFERROR(INDEX(Справочники!$P$2:$P$500,MATCH(L7,Справочники!$Q$2:$Q$500,0)),"!нет в справочнике"))</f>
        <v>BT-003</v>
      </c>
      <c r="N7" s="9" t="s">
        <v>276</v>
      </c>
      <c r="O7" s="10" t="str">
        <f>IF(N7="","",IFERROR(INDEX(Справочники!$W$2:$W$500,MATCH(N7,Справочники!$X$2:$X$500,0)),"!нет в справочнике"))</f>
        <v>MONTH</v>
      </c>
      <c r="P7" s="9" t="s">
        <v>295</v>
      </c>
      <c r="Q7" s="10" t="str">
        <f>IF(P7="","",IFERROR(INDEX(Справочники!$S$2:$S$500,MATCH(P7,Справочники!$T$2:$T$500,0)),"!нет в справочнике"))</f>
        <v>KPI-003</v>
      </c>
      <c r="R7" s="9" t="s">
        <v>278</v>
      </c>
      <c r="S7" s="10" t="str">
        <f>IF(R7="","",IFERROR(INDEX(Справочники!$Z$2:$Z$500,MATCH(R7,Справочники!$AA$2:$AA$500,0)),"!нет в справочнике"))</f>
        <v>FACT</v>
      </c>
      <c r="T7" s="9" t="s">
        <v>295</v>
      </c>
      <c r="U7" s="10" t="str">
        <f>IF(T7="","",IFERROR(INDEX(Справочники!$S$2:$S$500,MATCH(T7,Справочники!$T$2:$T$500,0)),"!нет в справочнике"))</f>
        <v>KPI-003</v>
      </c>
      <c r="V7" s="9" t="s">
        <v>296</v>
      </c>
      <c r="W7" s="10" t="str">
        <f>IF(V7="","",IFERROR(INDEX(Справочники!$Z$2:$Z$500,MATCH(V7,Справочники!$AA$2:$AA$500,0)),"!нет в справочнике"))</f>
        <v>PCT</v>
      </c>
      <c r="X7" s="9" t="s">
        <v>297</v>
      </c>
      <c r="Y7" s="10" t="str">
        <f>IF(X7="","",IFERROR(INDEX(Шкалы!$A$2:$A$500,MATCH(X7,Шкалы!$B$2:$B$500,0)),"!нет в справочнике"))</f>
        <v>SC-003</v>
      </c>
      <c r="Z7" s="11">
        <v>46023</v>
      </c>
      <c r="AA7" s="11"/>
      <c r="AB7" s="9"/>
      <c r="AC7" s="10" t="str">
        <f>IF(A7="","",IF(COUNTIF($A$2:$A$500,A7)&gt;1,"Дубль код_ПОТ",IF(COUNTBLANK(B7:Z7)&gt;0,"Не заполнены обязательные поля",IF(COUNTIF(C7:Y7,"!*")&gt;0,"Значение не найдено в справочнике",IF(AND(AA7&lt;&gt;"",N(AA7)&lt;N(Z7)),"дата_окончания раньше дата_начала",IF(COUNTIF(Шкалы_ступени!$B$2:$B$500,Y7)=0,"У шкалы нет ступеней",IF(SUMPRODUCT(($C$2:$C$500=C7)*($E$2:$E$500=E7)*($G$2:$G$500=G7)*($I$2:$I$500=I7)*($K$2:$K$500=K7)*($M$2:$M$500=M7)*(ROW($A$2:$A$500)&lt;&gt;ROW())*($Z$2:$Z$500&lt;=(AA7="")*1E+99+N(AA7))*((($AA$2:$AA$500="")*1E+99+$AA$2:$AA$500)&gt;=N(Z7)))&gt;0,"Пересечение со строкой с тем же набором атрибутов","ОК")))))))</f>
        <v>ОК</v>
      </c>
    </row>
    <row r="8" spans="1:29" x14ac:dyDescent="0.3">
      <c r="A8" s="9" t="s">
        <v>298</v>
      </c>
      <c r="B8" s="9" t="s">
        <v>288</v>
      </c>
      <c r="C8" s="10" t="str">
        <f>IF(B8="","",IFERROR(INDEX(Справочники!$A$2:$A$500,MATCH(B8,Справочники!$B$2:$B$500,0)),"!нет в справочнике"))</f>
        <v>DC-02</v>
      </c>
      <c r="D8" s="9" t="s">
        <v>291</v>
      </c>
      <c r="E8" s="10" t="str">
        <f>IF(D8="","",IFERROR(INDEX(Справочники!$D$2:$D$500,MATCH(D8,Справочники!$E$2:$E$500,0)),"!нет в справочнике"))</f>
        <v>CFO-03</v>
      </c>
      <c r="F8" s="9" t="s">
        <v>292</v>
      </c>
      <c r="G8" s="10" t="str">
        <f>IF(F8="","",IFERROR(INDEX(Справочники!$G$2:$G$500,MATCH(F8,Справочники!$H$2:$H$500,0)),"!нет в справочнике"))</f>
        <v>DEP-03</v>
      </c>
      <c r="H8" s="9" t="s">
        <v>299</v>
      </c>
      <c r="I8" s="10" t="str">
        <f>IF(H8="","",IFERROR(INDEX(Справочники!$J$2:$J$500,MATCH(H8,Справочники!$K$2:$K$500,0)),"!нет в справочнике"))</f>
        <v>BR-00</v>
      </c>
      <c r="J8" s="9" t="s">
        <v>293</v>
      </c>
      <c r="K8" s="10" t="str">
        <f>IF(J8="","",IFERROR(INDEX(Справочники!$M$2:$M$500,MATCH(J8,Справочники!$N$2:$N$500,0)),"!нет в справочнике"))</f>
        <v>POS-002</v>
      </c>
      <c r="L8" s="9" t="s">
        <v>294</v>
      </c>
      <c r="M8" s="10" t="str">
        <f>IF(L8="","",IFERROR(INDEX(Справочники!$P$2:$P$500,MATCH(L8,Справочники!$Q$2:$Q$500,0)),"!нет в справочнике"))</f>
        <v>BT-003</v>
      </c>
      <c r="N8" s="9" t="s">
        <v>276</v>
      </c>
      <c r="O8" s="10" t="str">
        <f>IF(N8="","",IFERROR(INDEX(Справочники!$W$2:$W$500,MATCH(N8,Справочники!$X$2:$X$500,0)),"!нет в справочнике"))</f>
        <v>MONTH</v>
      </c>
      <c r="P8" s="9" t="s">
        <v>295</v>
      </c>
      <c r="Q8" s="10" t="str">
        <f>IF(P8="","",IFERROR(INDEX(Справочники!$S$2:$S$500,MATCH(P8,Справочники!$T$2:$T$500,0)),"!нет в справочнике"))</f>
        <v>KPI-003</v>
      </c>
      <c r="R8" s="9" t="s">
        <v>278</v>
      </c>
      <c r="S8" s="10" t="str">
        <f>IF(R8="","",IFERROR(INDEX(Справочники!$Z$2:$Z$500,MATCH(R8,Справочники!$AA$2:$AA$500,0)),"!нет в справочнике"))</f>
        <v>FACT</v>
      </c>
      <c r="T8" s="9" t="s">
        <v>295</v>
      </c>
      <c r="U8" s="10" t="str">
        <f>IF(T8="","",IFERROR(INDEX(Справочники!$S$2:$S$500,MATCH(T8,Справочники!$T$2:$T$500,0)),"!нет в справочнике"))</f>
        <v>KPI-003</v>
      </c>
      <c r="V8" s="9" t="s">
        <v>296</v>
      </c>
      <c r="W8" s="10" t="str">
        <f>IF(V8="","",IFERROR(INDEX(Справочники!$Z$2:$Z$500,MATCH(V8,Справочники!$AA$2:$AA$500,0)),"!нет в справочнике"))</f>
        <v>PCT</v>
      </c>
      <c r="X8" s="9" t="s">
        <v>297</v>
      </c>
      <c r="Y8" s="10" t="str">
        <f>IF(X8="","",IFERROR(INDEX(Шкалы!$A$2:$A$500,MATCH(X8,Шкалы!$B$2:$B$500,0)),"!нет в справочнике"))</f>
        <v>SC-003</v>
      </c>
      <c r="Z8" s="11">
        <v>46023</v>
      </c>
      <c r="AA8" s="11"/>
      <c r="AB8" s="9"/>
      <c r="AC8" s="10" t="str">
        <f>IF(A8="","",IF(COUNTIF($A$2:$A$500,A8)&gt;1,"Дубль код_ПОТ",IF(COUNTBLANK(B8:Z8)&gt;0,"Не заполнены обязательные поля",IF(COUNTIF(C8:Y8,"!*")&gt;0,"Значение не найдено в справочнике",IF(AND(AA8&lt;&gt;"",N(AA8)&lt;N(Z8)),"дата_окончания раньше дата_начала",IF(COUNTIF(Шкалы_ступени!$B$2:$B$500,Y8)=0,"У шкалы нет ступеней",IF(SUMPRODUCT(($C$2:$C$500=C8)*($E$2:$E$500=E8)*($G$2:$G$500=G8)*($I$2:$I$500=I8)*($K$2:$K$500=K8)*($M$2:$M$500=M8)*(ROW($A$2:$A$500)&lt;&gt;ROW())*($Z$2:$Z$500&lt;=(AA8="")*1E+99+N(AA8))*((($AA$2:$AA$500="")*1E+99+$AA$2:$AA$500)&gt;=N(Z8)))&gt;0,"Пересечение со строкой с тем же набором атрибутов","ОК")))))))</f>
        <v>ОК</v>
      </c>
    </row>
    <row r="9" spans="1:29" x14ac:dyDescent="0.3">
      <c r="A9" s="9" t="s">
        <v>300</v>
      </c>
      <c r="B9" s="9" t="s">
        <v>271</v>
      </c>
      <c r="C9" s="10" t="str">
        <f>IF(B9="","",IFERROR(INDEX(Справочники!$A$2:$A$500,MATCH(B9,Справочники!$B$2:$B$500,0)),"!нет в справочнике"))</f>
        <v>DC-01</v>
      </c>
      <c r="D9" s="9" t="s">
        <v>301</v>
      </c>
      <c r="E9" s="10" t="str">
        <f>IF(D9="","",IFERROR(INDEX(Справочники!$D$2:$D$500,MATCH(D9,Справочники!$E$2:$E$500,0)),"!нет в справочнике"))</f>
        <v>CFO-02</v>
      </c>
      <c r="F9" s="9" t="s">
        <v>302</v>
      </c>
      <c r="G9" s="10" t="str">
        <f>IF(F9="","",IFERROR(INDEX(Справочники!$G$2:$G$500,MATCH(F9,Справочники!$H$2:$H$500,0)),"!нет в справочнике"))</f>
        <v>DEP-02</v>
      </c>
      <c r="H9" s="9" t="s">
        <v>299</v>
      </c>
      <c r="I9" s="10" t="str">
        <f>IF(H9="","",IFERROR(INDEX(Справочники!$J$2:$J$500,MATCH(H9,Справочники!$K$2:$K$500,0)),"!нет в справочнике"))</f>
        <v>BR-00</v>
      </c>
      <c r="J9" s="9" t="s">
        <v>303</v>
      </c>
      <c r="K9" s="10" t="str">
        <f>IF(J9="","",IFERROR(INDEX(Справочники!$M$2:$M$500,MATCH(J9,Справочники!$N$2:$N$500,0)),"!нет в справочнике"))</f>
        <v>POS-003</v>
      </c>
      <c r="L9" s="9" t="s">
        <v>304</v>
      </c>
      <c r="M9" s="10" t="str">
        <f>IF(L9="","",IFERROR(INDEX(Справочники!$P$2:$P$500,MATCH(L9,Справочники!$Q$2:$Q$500,0)),"!нет в справочнике"))</f>
        <v>BT-004</v>
      </c>
      <c r="N9" s="9" t="s">
        <v>305</v>
      </c>
      <c r="O9" s="10" t="str">
        <f>IF(N9="","",IFERROR(INDEX(Справочники!$W$2:$W$500,MATCH(N9,Справочники!$X$2:$X$500,0)),"!нет в справочнике"))</f>
        <v>QUARTER</v>
      </c>
      <c r="P9" s="9" t="s">
        <v>304</v>
      </c>
      <c r="Q9" s="10" t="str">
        <f>IF(P9="","",IFERROR(INDEX(Справочники!$S$2:$S$500,MATCH(P9,Справочники!$T$2:$T$500,0)),"!нет в справочнике"))</f>
        <v>KPI-005</v>
      </c>
      <c r="R9" s="9" t="s">
        <v>306</v>
      </c>
      <c r="S9" s="10" t="str">
        <f>IF(R9="","",IFERROR(INDEX(Справочники!$Z$2:$Z$500,MATCH(R9,Справочники!$AA$2:$AA$500,0)),"!нет в справочнике"))</f>
        <v>PLAN</v>
      </c>
      <c r="T9" s="9" t="s">
        <v>307</v>
      </c>
      <c r="U9" s="10" t="str">
        <f>IF(T9="","",IFERROR(INDEX(Справочники!$S$2:$S$500,MATCH(T9,Справочники!$T$2:$T$500,0)),"!нет в справочнике"))</f>
        <v>KPI-004</v>
      </c>
      <c r="V9" s="9" t="s">
        <v>296</v>
      </c>
      <c r="W9" s="10" t="str">
        <f>IF(V9="","",IFERROR(INDEX(Справочники!$Z$2:$Z$500,MATCH(V9,Справочники!$AA$2:$AA$500,0)),"!нет в справочнике"))</f>
        <v>PCT</v>
      </c>
      <c r="X9" s="9" t="s">
        <v>308</v>
      </c>
      <c r="Y9" s="10" t="str">
        <f>IF(X9="","",IFERROR(INDEX(Шкалы!$A$2:$A$500,MATCH(X9,Шкалы!$B$2:$B$500,0)),"!нет в справочнике"))</f>
        <v>SC-004</v>
      </c>
      <c r="Z9" s="11">
        <v>46023</v>
      </c>
      <c r="AA9" s="11"/>
      <c r="AB9" s="9"/>
      <c r="AC9" s="10" t="str">
        <f>IF(A9="","",IF(COUNTIF($A$2:$A$500,A9)&gt;1,"Дубль код_ПОТ",IF(COUNTBLANK(B9:Z9)&gt;0,"Не заполнены обязательные поля",IF(COUNTIF(C9:Y9,"!*")&gt;0,"Значение не найдено в справочнике",IF(AND(AA9&lt;&gt;"",N(AA9)&lt;N(Z9)),"дата_окончания раньше дата_начала",IF(COUNTIF(Шкалы_ступени!$B$2:$B$500,Y9)=0,"У шкалы нет ступеней",IF(SUMPRODUCT(($C$2:$C$500=C9)*($E$2:$E$500=E9)*($G$2:$G$500=G9)*($I$2:$I$500=I9)*($K$2:$K$500=K9)*($M$2:$M$500=M9)*(ROW($A$2:$A$500)&lt;&gt;ROW())*($Z$2:$Z$500&lt;=(AA9="")*1E+99+N(AA9))*((($AA$2:$AA$500="")*1E+99+$AA$2:$AA$500)&gt;=N(Z9)))&gt;0,"Пересечение со строкой с тем же набором атрибутов","ОК")))))))</f>
        <v>ОК</v>
      </c>
    </row>
    <row r="10" spans="1:29" x14ac:dyDescent="0.3">
      <c r="A10" s="9" t="s">
        <v>309</v>
      </c>
      <c r="B10" s="9" t="s">
        <v>310</v>
      </c>
      <c r="C10" s="10" t="str">
        <f>IF(B10="","",IFERROR(INDEX(Справочники!$A$2:$A$500,MATCH(B10,Справочники!$B$2:$B$500,0)),"!нет в справочнике"))</f>
        <v>DC-03</v>
      </c>
      <c r="D10" s="9" t="s">
        <v>301</v>
      </c>
      <c r="E10" s="10" t="str">
        <f>IF(D10="","",IFERROR(INDEX(Справочники!$D$2:$D$500,MATCH(D10,Справочники!$E$2:$E$500,0)),"!нет в справочнике"))</f>
        <v>CFO-02</v>
      </c>
      <c r="F10" s="9" t="s">
        <v>302</v>
      </c>
      <c r="G10" s="10" t="str">
        <f>IF(F10="","",IFERROR(INDEX(Справочники!$G$2:$G$500,MATCH(F10,Справочники!$H$2:$H$500,0)),"!нет в справочнике"))</f>
        <v>DEP-02</v>
      </c>
      <c r="H10" s="9" t="s">
        <v>299</v>
      </c>
      <c r="I10" s="10" t="str">
        <f>IF(H10="","",IFERROR(INDEX(Справочники!$J$2:$J$500,MATCH(H10,Справочники!$K$2:$K$500,0)),"!нет в справочнике"))</f>
        <v>BR-00</v>
      </c>
      <c r="J10" s="9" t="s">
        <v>303</v>
      </c>
      <c r="K10" s="10" t="str">
        <f>IF(J10="","",IFERROR(INDEX(Справочники!$M$2:$M$500,MATCH(J10,Справочники!$N$2:$N$500,0)),"!нет в справочнике"))</f>
        <v>POS-003</v>
      </c>
      <c r="L10" s="9" t="s">
        <v>304</v>
      </c>
      <c r="M10" s="10" t="str">
        <f>IF(L10="","",IFERROR(INDEX(Справочники!$P$2:$P$500,MATCH(L10,Справочники!$Q$2:$Q$500,0)),"!нет в справочнике"))</f>
        <v>BT-004</v>
      </c>
      <c r="N10" s="9" t="s">
        <v>305</v>
      </c>
      <c r="O10" s="10" t="str">
        <f>IF(N10="","",IFERROR(INDEX(Справочники!$W$2:$W$500,MATCH(N10,Справочники!$X$2:$X$500,0)),"!нет в справочнике"))</f>
        <v>QUARTER</v>
      </c>
      <c r="P10" s="9" t="s">
        <v>304</v>
      </c>
      <c r="Q10" s="10" t="str">
        <f>IF(P10="","",IFERROR(INDEX(Справочники!$S$2:$S$500,MATCH(P10,Справочники!$T$2:$T$500,0)),"!нет в справочнике"))</f>
        <v>KPI-005</v>
      </c>
      <c r="R10" s="9" t="s">
        <v>306</v>
      </c>
      <c r="S10" s="10" t="str">
        <f>IF(R10="","",IFERROR(INDEX(Справочники!$Z$2:$Z$500,MATCH(R10,Справочники!$AA$2:$AA$500,0)),"!нет в справочнике"))</f>
        <v>PLAN</v>
      </c>
      <c r="T10" s="9" t="s">
        <v>307</v>
      </c>
      <c r="U10" s="10" t="str">
        <f>IF(T10="","",IFERROR(INDEX(Справочники!$S$2:$S$500,MATCH(T10,Справочники!$T$2:$T$500,0)),"!нет в справочнике"))</f>
        <v>KPI-004</v>
      </c>
      <c r="V10" s="9" t="s">
        <v>296</v>
      </c>
      <c r="W10" s="10" t="str">
        <f>IF(V10="","",IFERROR(INDEX(Справочники!$Z$2:$Z$500,MATCH(V10,Справочники!$AA$2:$AA$500,0)),"!нет в справочнике"))</f>
        <v>PCT</v>
      </c>
      <c r="X10" s="9" t="s">
        <v>308</v>
      </c>
      <c r="Y10" s="10" t="str">
        <f>IF(X10="","",IFERROR(INDEX(Шкалы!$A$2:$A$500,MATCH(X10,Шкалы!$B$2:$B$500,0)),"!нет в справочнике"))</f>
        <v>SC-004</v>
      </c>
      <c r="Z10" s="11">
        <v>46023</v>
      </c>
      <c r="AA10" s="11"/>
      <c r="AB10" s="9"/>
      <c r="AC10" s="10" t="str">
        <f>IF(A10="","",IF(COUNTIF($A$2:$A$500,A10)&gt;1,"Дубль код_ПОТ",IF(COUNTBLANK(B10:Z10)&gt;0,"Не заполнены обязательные поля",IF(COUNTIF(C10:Y10,"!*")&gt;0,"Значение не найдено в справочнике",IF(AND(AA10&lt;&gt;"",N(AA10)&lt;N(Z10)),"дата_окончания раньше дата_начала",IF(COUNTIF(Шкалы_ступени!$B$2:$B$500,Y10)=0,"У шкалы нет ступеней",IF(SUMPRODUCT(($C$2:$C$500=C10)*($E$2:$E$500=E10)*($G$2:$G$500=G10)*($I$2:$I$500=I10)*($K$2:$K$500=K10)*($M$2:$M$500=M10)*(ROW($A$2:$A$500)&lt;&gt;ROW())*($Z$2:$Z$500&lt;=(AA10="")*1E+99+N(AA10))*((($AA$2:$AA$500="")*1E+99+$AA$2:$AA$500)&gt;=N(Z10)))&gt;0,"Пересечение со строкой с тем же набором атрибутов","ОК")))))))</f>
        <v>ОК</v>
      </c>
    </row>
  </sheetData>
  <conditionalFormatting sqref="AC2:AC500">
    <cfRule type="expression" dxfId="6" priority="1">
      <formula>AND($AC2&lt;&gt;"",$AC2&lt;&gt;"ОК")</formula>
    </cfRule>
    <cfRule type="expression" dxfId="5" priority="2">
      <formula>$AC2="ОК"</formula>
    </cfRule>
  </conditionalFormatting>
  <dataValidations count="13">
    <dataValidation type="list" allowBlank="1" showErrorMessage="1" errorTitle="ДЦ" error="Выберите значение из списка." sqref="B2:B500" xr:uid="{00000000-0002-0000-0100-000000000000}">
      <formula1>INDIRECT("ref_dc[ДЦ]")</formula1>
    </dataValidation>
    <dataValidation type="list" allowBlank="1" showErrorMessage="1" errorTitle="ЦФО" error="Выберите значение из списка." sqref="D2:D500" xr:uid="{00000000-0002-0000-0100-000001000000}">
      <formula1>INDIRECT("ref_cfo[ЦФО]")</formula1>
    </dataValidation>
    <dataValidation type="list" allowBlank="1" showErrorMessage="1" errorTitle="подразделение" error="Выберите значение из списка." sqref="F2:F500" xr:uid="{00000000-0002-0000-0100-000002000000}">
      <formula1>INDIRECT("ref_dept[подразделение]")</formula1>
    </dataValidation>
    <dataValidation type="list" allowBlank="1" showErrorMessage="1" errorTitle="марка" error="Выберите значение из списка." sqref="H2:H500" xr:uid="{00000000-0002-0000-0100-000003000000}">
      <formula1>INDIRECT("ref_brand[марка]")</formula1>
    </dataValidation>
    <dataValidation type="list" allowBlank="1" showErrorMessage="1" errorTitle="должность" error="Выберите значение из списка." sqref="J2:J500" xr:uid="{00000000-0002-0000-0100-000004000000}">
      <formula1>INDIRECT("ref_position[должность]")</formula1>
    </dataValidation>
    <dataValidation type="list" allowBlank="1" showErrorMessage="1" errorTitle="вид_премии" error="Выберите значение из списка." sqref="L2:L500" xr:uid="{00000000-0002-0000-0100-000005000000}">
      <formula1>INDIRECT("ref_bonus_type[вид_премии]")</formula1>
    </dataValidation>
    <dataValidation type="list" allowBlank="1" showErrorMessage="1" errorTitle="периодичность" error="Выберите значение из списка." sqref="N2:N500" xr:uid="{00000000-0002-0000-0100-000006000000}">
      <formula1>INDIRECT("ref_period[периодичность]")</formula1>
    </dataValidation>
    <dataValidation type="list" allowBlank="1" showErrorMessage="1" errorTitle="KPI_расчёта" error="Выберите значение из списка." sqref="P2:P500" xr:uid="{00000000-0002-0000-0100-000007000000}">
      <formula1>INDIRECT("ref_kpi[KPI]")</formula1>
    </dataValidation>
    <dataValidation type="list" allowBlank="1" showErrorMessage="1" errorTitle="тип_значения_KPI_расчёта" error="Выберите значение из списка." sqref="R2:R500" xr:uid="{00000000-0002-0000-0100-000008000000}">
      <formula1>INDIRECT("ref_value_type[тип_значения]")</formula1>
    </dataValidation>
    <dataValidation type="list" allowBlank="1" showErrorMessage="1" errorTitle="KPI_шкалы" error="Выберите значение из списка." sqref="T2:T500" xr:uid="{00000000-0002-0000-0100-000009000000}">
      <formula1>INDIRECT("ref_kpi[KPI]")</formula1>
    </dataValidation>
    <dataValidation type="list" allowBlank="1" showErrorMessage="1" errorTitle="тип_значения_KPI_шкалы" error="Выберите значение из списка." sqref="V2:V500" xr:uid="{00000000-0002-0000-0100-00000A000000}">
      <formula1>INDIRECT("ref_value_type[тип_значения]")</formula1>
    </dataValidation>
    <dataValidation type="list" allowBlank="1" showErrorMessage="1" errorTitle="шкала" error="Выберите значение из списка." sqref="X2:X500" xr:uid="{00000000-0002-0000-0100-00000B000000}">
      <formula1>INDIRECT("scale[шкала]")</formula1>
    </dataValidation>
    <dataValidation type="date" operator="greaterThan" allowBlank="1" showErrorMessage="1" errorTitle="Дата" error="Введите дату ДД.ММ.ГГГГ." sqref="Z2:AA500" xr:uid="{00000000-0002-0000-0100-00000C000000}">
      <formula1>36526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>
      <pane xSplit="2" ySplit="1" topLeftCell="C14" activePane="bottomRight" state="frozen"/>
      <selection pane="topRight"/>
      <selection pane="bottomLeft"/>
      <selection pane="bottomRight" activeCell="C41" sqref="C41"/>
    </sheetView>
  </sheetViews>
  <sheetFormatPr defaultRowHeight="14.4" x14ac:dyDescent="0.3"/>
  <cols>
    <col min="1" max="1" width="16" customWidth="1"/>
    <col min="2" max="2" width="26" customWidth="1"/>
    <col min="3" max="3" width="24.109375" customWidth="1"/>
    <col min="4" max="5" width="16" customWidth="1"/>
    <col min="6" max="6" width="60" customWidth="1"/>
    <col min="7" max="7" width="30" customWidth="1"/>
    <col min="8" max="8" width="14.21875" customWidth="1"/>
  </cols>
  <sheetData>
    <row r="1" spans="1:8" ht="26.4" x14ac:dyDescent="0.3">
      <c r="A1" s="7" t="s">
        <v>52</v>
      </c>
      <c r="B1" s="7" t="s">
        <v>311</v>
      </c>
      <c r="C1" s="7" t="s">
        <v>312</v>
      </c>
      <c r="D1" s="7" t="s">
        <v>313</v>
      </c>
      <c r="E1" s="7" t="s">
        <v>314</v>
      </c>
      <c r="F1" s="7" t="s">
        <v>86</v>
      </c>
      <c r="G1" s="7" t="s">
        <v>315</v>
      </c>
      <c r="H1" s="7" t="s">
        <v>316</v>
      </c>
    </row>
    <row r="2" spans="1:8" ht="27" customHeight="1" x14ac:dyDescent="0.3">
      <c r="A2" s="5" t="s">
        <v>61</v>
      </c>
      <c r="B2" s="5" t="s">
        <v>9</v>
      </c>
      <c r="C2" s="5" t="s">
        <v>317</v>
      </c>
      <c r="D2" s="5" t="s">
        <v>318</v>
      </c>
      <c r="E2" s="5" t="s">
        <v>319</v>
      </c>
      <c r="F2" s="5" t="s">
        <v>320</v>
      </c>
      <c r="G2" s="5" t="s">
        <v>321</v>
      </c>
      <c r="H2" s="5" t="s">
        <v>318</v>
      </c>
    </row>
    <row r="3" spans="1:8" ht="13.5" customHeight="1" x14ac:dyDescent="0.3">
      <c r="A3" s="5" t="s">
        <v>61</v>
      </c>
      <c r="B3" s="5" t="s">
        <v>245</v>
      </c>
      <c r="C3" s="5" t="s">
        <v>317</v>
      </c>
      <c r="D3" s="5" t="s">
        <v>318</v>
      </c>
      <c r="E3" s="5" t="s">
        <v>322</v>
      </c>
      <c r="F3" s="5" t="s">
        <v>323</v>
      </c>
      <c r="G3" s="5" t="s">
        <v>271</v>
      </c>
      <c r="H3" s="5" t="s">
        <v>60</v>
      </c>
    </row>
    <row r="4" spans="1:8" ht="13.5" customHeight="1" x14ac:dyDescent="0.3">
      <c r="A4" s="12" t="s">
        <v>61</v>
      </c>
      <c r="B4" s="12" t="s">
        <v>246</v>
      </c>
      <c r="C4" s="12" t="s">
        <v>324</v>
      </c>
      <c r="D4" s="12" t="s">
        <v>59</v>
      </c>
      <c r="E4" s="12" t="s">
        <v>319</v>
      </c>
      <c r="F4" s="12" t="s">
        <v>325</v>
      </c>
      <c r="G4" s="12" t="s">
        <v>326</v>
      </c>
      <c r="H4" s="12" t="s">
        <v>318</v>
      </c>
    </row>
    <row r="5" spans="1:8" ht="13.5" customHeight="1" x14ac:dyDescent="0.3">
      <c r="A5" s="5" t="s">
        <v>61</v>
      </c>
      <c r="B5" s="5" t="s">
        <v>247</v>
      </c>
      <c r="C5" s="5" t="s">
        <v>317</v>
      </c>
      <c r="D5" s="5" t="s">
        <v>318</v>
      </c>
      <c r="E5" s="5" t="s">
        <v>322</v>
      </c>
      <c r="F5" s="5" t="s">
        <v>327</v>
      </c>
      <c r="G5" s="5" t="s">
        <v>272</v>
      </c>
      <c r="H5" s="5" t="s">
        <v>60</v>
      </c>
    </row>
    <row r="6" spans="1:8" ht="13.5" customHeight="1" x14ac:dyDescent="0.3">
      <c r="A6" s="12" t="s">
        <v>61</v>
      </c>
      <c r="B6" s="12" t="s">
        <v>248</v>
      </c>
      <c r="C6" s="12" t="s">
        <v>324</v>
      </c>
      <c r="D6" s="12" t="s">
        <v>59</v>
      </c>
      <c r="E6" s="12" t="s">
        <v>319</v>
      </c>
      <c r="F6" s="12" t="s">
        <v>325</v>
      </c>
      <c r="G6" s="12" t="s">
        <v>328</v>
      </c>
      <c r="H6" s="12" t="s">
        <v>318</v>
      </c>
    </row>
    <row r="7" spans="1:8" ht="13.5" customHeight="1" x14ac:dyDescent="0.3">
      <c r="A7" s="5" t="s">
        <v>61</v>
      </c>
      <c r="B7" s="5" t="s">
        <v>249</v>
      </c>
      <c r="C7" s="5" t="s">
        <v>317</v>
      </c>
      <c r="D7" s="5" t="s">
        <v>318</v>
      </c>
      <c r="E7" s="5" t="s">
        <v>322</v>
      </c>
      <c r="F7" s="5" t="s">
        <v>329</v>
      </c>
      <c r="G7" s="5" t="s">
        <v>273</v>
      </c>
      <c r="H7" s="5" t="s">
        <v>60</v>
      </c>
    </row>
    <row r="8" spans="1:8" ht="13.5" customHeight="1" x14ac:dyDescent="0.3">
      <c r="A8" s="12" t="s">
        <v>61</v>
      </c>
      <c r="B8" s="12" t="s">
        <v>250</v>
      </c>
      <c r="C8" s="12" t="s">
        <v>324</v>
      </c>
      <c r="D8" s="12" t="s">
        <v>59</v>
      </c>
      <c r="E8" s="12" t="s">
        <v>319</v>
      </c>
      <c r="F8" s="12" t="s">
        <v>325</v>
      </c>
      <c r="G8" s="12" t="s">
        <v>330</v>
      </c>
      <c r="H8" s="12" t="s">
        <v>318</v>
      </c>
    </row>
    <row r="9" spans="1:8" ht="13.5" customHeight="1" x14ac:dyDescent="0.3">
      <c r="A9" s="5" t="s">
        <v>61</v>
      </c>
      <c r="B9" s="5" t="s">
        <v>251</v>
      </c>
      <c r="C9" s="5" t="s">
        <v>317</v>
      </c>
      <c r="D9" s="5" t="s">
        <v>318</v>
      </c>
      <c r="E9" s="5" t="s">
        <v>322</v>
      </c>
      <c r="F9" s="5" t="s">
        <v>331</v>
      </c>
      <c r="G9" s="5" t="s">
        <v>332</v>
      </c>
      <c r="H9" s="5" t="s">
        <v>60</v>
      </c>
    </row>
    <row r="10" spans="1:8" ht="13.5" customHeight="1" x14ac:dyDescent="0.3">
      <c r="A10" s="12" t="s">
        <v>61</v>
      </c>
      <c r="B10" s="12" t="s">
        <v>252</v>
      </c>
      <c r="C10" s="12" t="s">
        <v>324</v>
      </c>
      <c r="D10" s="12" t="s">
        <v>59</v>
      </c>
      <c r="E10" s="12" t="s">
        <v>319</v>
      </c>
      <c r="F10" s="12" t="s">
        <v>325</v>
      </c>
      <c r="G10" s="12" t="s">
        <v>333</v>
      </c>
      <c r="H10" s="12" t="s">
        <v>318</v>
      </c>
    </row>
    <row r="11" spans="1:8" ht="27" customHeight="1" x14ac:dyDescent="0.3">
      <c r="A11" s="5" t="s">
        <v>61</v>
      </c>
      <c r="B11" s="5" t="s">
        <v>253</v>
      </c>
      <c r="C11" s="5" t="s">
        <v>317</v>
      </c>
      <c r="D11" s="5" t="s">
        <v>318</v>
      </c>
      <c r="E11" s="5" t="s">
        <v>322</v>
      </c>
      <c r="F11" s="5" t="s">
        <v>334</v>
      </c>
      <c r="G11" s="5" t="s">
        <v>275</v>
      </c>
      <c r="H11" s="5" t="s">
        <v>60</v>
      </c>
    </row>
    <row r="12" spans="1:8" ht="13.5" customHeight="1" x14ac:dyDescent="0.3">
      <c r="A12" s="12" t="s">
        <v>61</v>
      </c>
      <c r="B12" s="12" t="s">
        <v>254</v>
      </c>
      <c r="C12" s="12" t="s">
        <v>324</v>
      </c>
      <c r="D12" s="12" t="s">
        <v>59</v>
      </c>
      <c r="E12" s="12" t="s">
        <v>319</v>
      </c>
      <c r="F12" s="12" t="s">
        <v>325</v>
      </c>
      <c r="G12" s="12" t="s">
        <v>335</v>
      </c>
      <c r="H12" s="12" t="s">
        <v>318</v>
      </c>
    </row>
    <row r="13" spans="1:8" ht="27" customHeight="1" x14ac:dyDescent="0.3">
      <c r="A13" s="5" t="s">
        <v>61</v>
      </c>
      <c r="B13" s="5" t="s">
        <v>255</v>
      </c>
      <c r="C13" s="5" t="s">
        <v>317</v>
      </c>
      <c r="D13" s="5" t="s">
        <v>318</v>
      </c>
      <c r="E13" s="5" t="s">
        <v>322</v>
      </c>
      <c r="F13" s="5" t="s">
        <v>336</v>
      </c>
      <c r="G13" s="5" t="s">
        <v>32</v>
      </c>
      <c r="H13" s="5" t="s">
        <v>60</v>
      </c>
    </row>
    <row r="14" spans="1:8" ht="13.5" customHeight="1" x14ac:dyDescent="0.3">
      <c r="A14" s="12" t="s">
        <v>61</v>
      </c>
      <c r="B14" s="12" t="s">
        <v>256</v>
      </c>
      <c r="C14" s="12" t="s">
        <v>324</v>
      </c>
      <c r="D14" s="12" t="s">
        <v>59</v>
      </c>
      <c r="E14" s="12" t="s">
        <v>319</v>
      </c>
      <c r="F14" s="12" t="s">
        <v>325</v>
      </c>
      <c r="G14" s="12" t="s">
        <v>337</v>
      </c>
      <c r="H14" s="12" t="s">
        <v>318</v>
      </c>
    </row>
    <row r="15" spans="1:8" ht="13.5" customHeight="1" x14ac:dyDescent="0.3">
      <c r="A15" s="5" t="s">
        <v>61</v>
      </c>
      <c r="B15" s="5" t="s">
        <v>257</v>
      </c>
      <c r="C15" s="5" t="s">
        <v>317</v>
      </c>
      <c r="D15" s="5" t="s">
        <v>318</v>
      </c>
      <c r="E15" s="5" t="s">
        <v>322</v>
      </c>
      <c r="F15" s="5" t="s">
        <v>338</v>
      </c>
      <c r="G15" s="5" t="s">
        <v>276</v>
      </c>
      <c r="H15" s="5" t="s">
        <v>60</v>
      </c>
    </row>
    <row r="16" spans="1:8" ht="13.5" customHeight="1" x14ac:dyDescent="0.3">
      <c r="A16" s="12" t="s">
        <v>61</v>
      </c>
      <c r="B16" s="12" t="s">
        <v>258</v>
      </c>
      <c r="C16" s="12" t="s">
        <v>324</v>
      </c>
      <c r="D16" s="12" t="s">
        <v>59</v>
      </c>
      <c r="E16" s="12" t="s">
        <v>319</v>
      </c>
      <c r="F16" s="12" t="s">
        <v>325</v>
      </c>
      <c r="G16" s="12" t="s">
        <v>339</v>
      </c>
      <c r="H16" s="12" t="s">
        <v>318</v>
      </c>
    </row>
    <row r="17" spans="1:8" ht="27" customHeight="1" x14ac:dyDescent="0.3">
      <c r="A17" s="5" t="s">
        <v>61</v>
      </c>
      <c r="B17" s="5" t="s">
        <v>11</v>
      </c>
      <c r="C17" s="5" t="s">
        <v>317</v>
      </c>
      <c r="D17" s="5" t="s">
        <v>318</v>
      </c>
      <c r="E17" s="5" t="s">
        <v>322</v>
      </c>
      <c r="F17" s="5" t="s">
        <v>340</v>
      </c>
      <c r="G17" s="5" t="s">
        <v>282</v>
      </c>
      <c r="H17" s="5" t="s">
        <v>60</v>
      </c>
    </row>
    <row r="18" spans="1:8" ht="13.5" customHeight="1" x14ac:dyDescent="0.3">
      <c r="A18" s="12" t="s">
        <v>61</v>
      </c>
      <c r="B18" s="12" t="s">
        <v>259</v>
      </c>
      <c r="C18" s="12" t="s">
        <v>324</v>
      </c>
      <c r="D18" s="12" t="s">
        <v>59</v>
      </c>
      <c r="E18" s="12" t="s">
        <v>319</v>
      </c>
      <c r="F18" s="12" t="s">
        <v>341</v>
      </c>
      <c r="G18" s="12" t="s">
        <v>342</v>
      </c>
      <c r="H18" s="12" t="s">
        <v>318</v>
      </c>
    </row>
    <row r="19" spans="1:8" ht="13.5" customHeight="1" x14ac:dyDescent="0.3">
      <c r="A19" s="5" t="s">
        <v>61</v>
      </c>
      <c r="B19" s="5" t="s">
        <v>260</v>
      </c>
      <c r="C19" s="5" t="s">
        <v>317</v>
      </c>
      <c r="D19" s="5" t="s">
        <v>318</v>
      </c>
      <c r="E19" s="5" t="s">
        <v>322</v>
      </c>
      <c r="F19" s="5" t="s">
        <v>343</v>
      </c>
      <c r="G19" s="5" t="s">
        <v>278</v>
      </c>
      <c r="H19" s="5" t="s">
        <v>60</v>
      </c>
    </row>
    <row r="20" spans="1:8" ht="13.5" customHeight="1" x14ac:dyDescent="0.3">
      <c r="A20" s="12" t="s">
        <v>61</v>
      </c>
      <c r="B20" s="12" t="s">
        <v>261</v>
      </c>
      <c r="C20" s="12" t="s">
        <v>324</v>
      </c>
      <c r="D20" s="12" t="s">
        <v>59</v>
      </c>
      <c r="E20" s="12" t="s">
        <v>319</v>
      </c>
      <c r="F20" s="12" t="s">
        <v>344</v>
      </c>
      <c r="G20" s="12" t="s">
        <v>345</v>
      </c>
      <c r="H20" s="12" t="s">
        <v>318</v>
      </c>
    </row>
    <row r="21" spans="1:8" ht="27" customHeight="1" x14ac:dyDescent="0.3">
      <c r="A21" s="5" t="s">
        <v>61</v>
      </c>
      <c r="B21" s="5" t="s">
        <v>13</v>
      </c>
      <c r="C21" s="5" t="s">
        <v>317</v>
      </c>
      <c r="D21" s="5" t="s">
        <v>318</v>
      </c>
      <c r="E21" s="5" t="s">
        <v>322</v>
      </c>
      <c r="F21" s="5" t="s">
        <v>346</v>
      </c>
      <c r="G21" s="5" t="s">
        <v>277</v>
      </c>
      <c r="H21" s="5" t="s">
        <v>60</v>
      </c>
    </row>
    <row r="22" spans="1:8" ht="13.5" customHeight="1" x14ac:dyDescent="0.3">
      <c r="A22" s="12" t="s">
        <v>61</v>
      </c>
      <c r="B22" s="12" t="s">
        <v>262</v>
      </c>
      <c r="C22" s="12" t="s">
        <v>324</v>
      </c>
      <c r="D22" s="12" t="s">
        <v>59</v>
      </c>
      <c r="E22" s="12" t="s">
        <v>319</v>
      </c>
      <c r="F22" s="12" t="s">
        <v>341</v>
      </c>
      <c r="G22" s="12" t="s">
        <v>347</v>
      </c>
      <c r="H22" s="12" t="s">
        <v>318</v>
      </c>
    </row>
    <row r="23" spans="1:8" ht="13.5" customHeight="1" x14ac:dyDescent="0.3">
      <c r="A23" s="5" t="s">
        <v>61</v>
      </c>
      <c r="B23" s="5" t="s">
        <v>263</v>
      </c>
      <c r="C23" s="5" t="s">
        <v>317</v>
      </c>
      <c r="D23" s="5" t="s">
        <v>318</v>
      </c>
      <c r="E23" s="5" t="s">
        <v>322</v>
      </c>
      <c r="F23" s="5" t="s">
        <v>343</v>
      </c>
      <c r="G23" s="5" t="s">
        <v>278</v>
      </c>
      <c r="H23" s="5" t="s">
        <v>60</v>
      </c>
    </row>
    <row r="24" spans="1:8" ht="13.5" customHeight="1" x14ac:dyDescent="0.3">
      <c r="A24" s="12" t="s">
        <v>61</v>
      </c>
      <c r="B24" s="12" t="s">
        <v>264</v>
      </c>
      <c r="C24" s="12" t="s">
        <v>324</v>
      </c>
      <c r="D24" s="12" t="s">
        <v>59</v>
      </c>
      <c r="E24" s="12" t="s">
        <v>319</v>
      </c>
      <c r="F24" s="12" t="s">
        <v>344</v>
      </c>
      <c r="G24" s="12" t="s">
        <v>345</v>
      </c>
      <c r="H24" s="12" t="s">
        <v>318</v>
      </c>
    </row>
    <row r="25" spans="1:8" ht="27" customHeight="1" x14ac:dyDescent="0.3">
      <c r="A25" s="5" t="s">
        <v>61</v>
      </c>
      <c r="B25" s="5" t="s">
        <v>265</v>
      </c>
      <c r="C25" s="5" t="s">
        <v>317</v>
      </c>
      <c r="D25" s="5" t="s">
        <v>318</v>
      </c>
      <c r="E25" s="5" t="s">
        <v>322</v>
      </c>
      <c r="F25" s="5" t="s">
        <v>348</v>
      </c>
      <c r="G25" s="5" t="s">
        <v>283</v>
      </c>
      <c r="H25" s="5" t="s">
        <v>60</v>
      </c>
    </row>
    <row r="26" spans="1:8" ht="13.5" customHeight="1" x14ac:dyDescent="0.3">
      <c r="A26" s="12" t="s">
        <v>61</v>
      </c>
      <c r="B26" s="12" t="s">
        <v>206</v>
      </c>
      <c r="C26" s="12" t="s">
        <v>324</v>
      </c>
      <c r="D26" s="12" t="s">
        <v>59</v>
      </c>
      <c r="E26" s="12" t="s">
        <v>319</v>
      </c>
      <c r="F26" s="12" t="s">
        <v>349</v>
      </c>
      <c r="G26" s="12" t="s">
        <v>350</v>
      </c>
      <c r="H26" s="12" t="s">
        <v>318</v>
      </c>
    </row>
    <row r="27" spans="1:8" ht="13.5" customHeight="1" x14ac:dyDescent="0.3">
      <c r="A27" s="5" t="s">
        <v>61</v>
      </c>
      <c r="B27" s="5" t="s">
        <v>266</v>
      </c>
      <c r="C27" s="5" t="s">
        <v>317</v>
      </c>
      <c r="D27" s="5" t="s">
        <v>318</v>
      </c>
      <c r="E27" s="5" t="s">
        <v>351</v>
      </c>
      <c r="F27" s="5" t="s">
        <v>352</v>
      </c>
      <c r="G27" s="5" t="s">
        <v>353</v>
      </c>
      <c r="H27" s="5" t="s">
        <v>318</v>
      </c>
    </row>
    <row r="28" spans="1:8" ht="27" customHeight="1" x14ac:dyDescent="0.3">
      <c r="A28" s="5" t="s">
        <v>61</v>
      </c>
      <c r="B28" s="5" t="s">
        <v>267</v>
      </c>
      <c r="C28" s="5" t="s">
        <v>317</v>
      </c>
      <c r="D28" s="5" t="s">
        <v>60</v>
      </c>
      <c r="E28" s="5" t="s">
        <v>351</v>
      </c>
      <c r="F28" s="5" t="s">
        <v>354</v>
      </c>
      <c r="G28" s="5" t="s">
        <v>355</v>
      </c>
      <c r="H28" s="5" t="s">
        <v>318</v>
      </c>
    </row>
    <row r="29" spans="1:8" ht="13.5" customHeight="1" x14ac:dyDescent="0.3">
      <c r="A29" s="5" t="s">
        <v>61</v>
      </c>
      <c r="B29" s="5" t="s">
        <v>268</v>
      </c>
      <c r="C29" s="5" t="s">
        <v>317</v>
      </c>
      <c r="D29" s="5" t="s">
        <v>60</v>
      </c>
      <c r="E29" s="5" t="s">
        <v>319</v>
      </c>
      <c r="F29" s="5" t="s">
        <v>356</v>
      </c>
      <c r="G29" s="5" t="s">
        <v>357</v>
      </c>
      <c r="H29" s="5" t="s">
        <v>318</v>
      </c>
    </row>
    <row r="30" spans="1:8" ht="13.5" customHeight="1" x14ac:dyDescent="0.3">
      <c r="A30" s="12" t="s">
        <v>61</v>
      </c>
      <c r="B30" s="12" t="s">
        <v>269</v>
      </c>
      <c r="C30" s="12" t="s">
        <v>324</v>
      </c>
      <c r="D30" s="12" t="s">
        <v>59</v>
      </c>
      <c r="E30" s="12" t="s">
        <v>319</v>
      </c>
      <c r="F30" s="12" t="s">
        <v>358</v>
      </c>
      <c r="G30" s="12" t="s">
        <v>359</v>
      </c>
      <c r="H30" s="12" t="s">
        <v>60</v>
      </c>
    </row>
    <row r="31" spans="1:8" ht="13.5" customHeight="1" x14ac:dyDescent="0.3">
      <c r="A31" s="5" t="s">
        <v>71</v>
      </c>
      <c r="B31" s="5" t="s">
        <v>206</v>
      </c>
      <c r="C31" s="5" t="s">
        <v>317</v>
      </c>
      <c r="D31" s="5" t="s">
        <v>318</v>
      </c>
      <c r="E31" s="5" t="s">
        <v>319</v>
      </c>
      <c r="F31" s="5" t="s">
        <v>360</v>
      </c>
      <c r="G31" s="5" t="s">
        <v>361</v>
      </c>
      <c r="H31" s="5" t="s">
        <v>318</v>
      </c>
    </row>
    <row r="32" spans="1:8" ht="13.5" customHeight="1" x14ac:dyDescent="0.3">
      <c r="A32" s="5" t="s">
        <v>71</v>
      </c>
      <c r="B32" s="5" t="s">
        <v>265</v>
      </c>
      <c r="C32" s="5" t="s">
        <v>317</v>
      </c>
      <c r="D32" s="5" t="s">
        <v>318</v>
      </c>
      <c r="E32" s="5" t="s">
        <v>319</v>
      </c>
      <c r="F32" s="5" t="s">
        <v>362</v>
      </c>
      <c r="G32" s="5" t="s">
        <v>363</v>
      </c>
      <c r="H32" s="5" t="s">
        <v>318</v>
      </c>
    </row>
    <row r="33" spans="1:8" ht="27" customHeight="1" x14ac:dyDescent="0.3">
      <c r="A33" s="5" t="s">
        <v>71</v>
      </c>
      <c r="B33" s="5" t="s">
        <v>364</v>
      </c>
      <c r="C33" s="5" t="s">
        <v>317</v>
      </c>
      <c r="D33" s="5" t="s">
        <v>60</v>
      </c>
      <c r="E33" s="5" t="s">
        <v>319</v>
      </c>
      <c r="F33" s="5" t="s">
        <v>365</v>
      </c>
      <c r="G33" s="5" t="s">
        <v>366</v>
      </c>
      <c r="H33" s="5" t="s">
        <v>318</v>
      </c>
    </row>
    <row r="34" spans="1:8" ht="27" customHeight="1" x14ac:dyDescent="0.3">
      <c r="A34" s="5" t="s">
        <v>74</v>
      </c>
      <c r="B34" s="5" t="s">
        <v>265</v>
      </c>
      <c r="C34" s="5" t="s">
        <v>317</v>
      </c>
      <c r="D34" s="5" t="s">
        <v>318</v>
      </c>
      <c r="E34" s="5" t="s">
        <v>322</v>
      </c>
      <c r="F34" s="5" t="s">
        <v>348</v>
      </c>
      <c r="G34" s="5" t="s">
        <v>279</v>
      </c>
      <c r="H34" s="5" t="s">
        <v>60</v>
      </c>
    </row>
    <row r="35" spans="1:8" ht="13.5" customHeight="1" x14ac:dyDescent="0.3">
      <c r="A35" s="12" t="s">
        <v>74</v>
      </c>
      <c r="B35" s="12" t="s">
        <v>206</v>
      </c>
      <c r="C35" s="12" t="s">
        <v>324</v>
      </c>
      <c r="D35" s="12" t="s">
        <v>59</v>
      </c>
      <c r="E35" s="12" t="s">
        <v>319</v>
      </c>
      <c r="F35" s="12" t="s">
        <v>349</v>
      </c>
      <c r="G35" s="12" t="s">
        <v>367</v>
      </c>
      <c r="H35" s="12" t="s">
        <v>318</v>
      </c>
    </row>
    <row r="36" spans="1:8" ht="13.5" customHeight="1" x14ac:dyDescent="0.3">
      <c r="A36" s="5" t="s">
        <v>74</v>
      </c>
      <c r="B36" s="5" t="s">
        <v>116</v>
      </c>
      <c r="C36" s="5" t="s">
        <v>317</v>
      </c>
      <c r="D36" s="5" t="s">
        <v>318</v>
      </c>
      <c r="E36" s="5" t="s">
        <v>368</v>
      </c>
      <c r="F36" s="5" t="s">
        <v>369</v>
      </c>
      <c r="G36" s="5" t="s">
        <v>370</v>
      </c>
      <c r="H36" s="5" t="s">
        <v>318</v>
      </c>
    </row>
    <row r="37" spans="1:8" ht="13.5" customHeight="1" x14ac:dyDescent="0.3">
      <c r="A37" s="5" t="s">
        <v>74</v>
      </c>
      <c r="B37" s="5" t="s">
        <v>117</v>
      </c>
      <c r="C37" s="5" t="s">
        <v>317</v>
      </c>
      <c r="D37" s="5" t="s">
        <v>318</v>
      </c>
      <c r="E37" s="5" t="s">
        <v>371</v>
      </c>
      <c r="F37" s="5" t="s">
        <v>372</v>
      </c>
      <c r="G37" s="5" t="s">
        <v>373</v>
      </c>
      <c r="H37" s="5" t="s">
        <v>318</v>
      </c>
    </row>
    <row r="38" spans="1:8" ht="27" customHeight="1" x14ac:dyDescent="0.3">
      <c r="A38" s="5" t="s">
        <v>74</v>
      </c>
      <c r="B38" s="5" t="s">
        <v>118</v>
      </c>
      <c r="C38" s="5" t="s">
        <v>317</v>
      </c>
      <c r="D38" s="5" t="s">
        <v>60</v>
      </c>
      <c r="E38" s="5" t="s">
        <v>374</v>
      </c>
      <c r="F38" s="5" t="s">
        <v>375</v>
      </c>
      <c r="G38" s="5" t="s">
        <v>376</v>
      </c>
      <c r="H38" s="5" t="s">
        <v>318</v>
      </c>
    </row>
    <row r="39" spans="1:8" ht="13.5" customHeight="1" x14ac:dyDescent="0.3">
      <c r="A39" s="5" t="s">
        <v>74</v>
      </c>
      <c r="B39" s="5" t="s">
        <v>119</v>
      </c>
      <c r="C39" s="5" t="s">
        <v>317</v>
      </c>
      <c r="D39" s="5" t="s">
        <v>318</v>
      </c>
      <c r="E39" s="5" t="s">
        <v>322</v>
      </c>
      <c r="F39" s="5" t="s">
        <v>377</v>
      </c>
      <c r="G39" s="5" t="s">
        <v>122</v>
      </c>
      <c r="H39" s="5" t="s">
        <v>60</v>
      </c>
    </row>
    <row r="40" spans="1:8" ht="13.5" customHeight="1" x14ac:dyDescent="0.3">
      <c r="A40" s="12" t="s">
        <v>74</v>
      </c>
      <c r="B40" s="12" t="s">
        <v>378</v>
      </c>
      <c r="C40" s="12" t="s">
        <v>324</v>
      </c>
      <c r="D40" s="12" t="s">
        <v>59</v>
      </c>
      <c r="E40" s="12" t="s">
        <v>319</v>
      </c>
      <c r="F40" s="12" t="s">
        <v>379</v>
      </c>
      <c r="G40" s="12" t="s">
        <v>380</v>
      </c>
      <c r="H40" s="12" t="s">
        <v>318</v>
      </c>
    </row>
    <row r="41" spans="1:8" ht="27" customHeight="1" x14ac:dyDescent="0.3">
      <c r="A41" s="5" t="s">
        <v>74</v>
      </c>
      <c r="B41" s="5" t="s">
        <v>120</v>
      </c>
      <c r="C41" s="5" t="s">
        <v>317</v>
      </c>
      <c r="D41" s="5" t="s">
        <v>381</v>
      </c>
      <c r="E41" s="5" t="s">
        <v>382</v>
      </c>
      <c r="F41" s="5" t="s">
        <v>383</v>
      </c>
      <c r="G41" s="5" t="s">
        <v>384</v>
      </c>
      <c r="H41" s="5" t="s">
        <v>318</v>
      </c>
    </row>
    <row r="42" spans="1:8" ht="13.5" customHeight="1" x14ac:dyDescent="0.3">
      <c r="A42" s="12" t="s">
        <v>74</v>
      </c>
      <c r="B42" s="12" t="s">
        <v>269</v>
      </c>
      <c r="C42" s="12" t="s">
        <v>324</v>
      </c>
      <c r="D42" s="12" t="s">
        <v>59</v>
      </c>
      <c r="E42" s="12" t="s">
        <v>319</v>
      </c>
      <c r="F42" s="12" t="s">
        <v>385</v>
      </c>
      <c r="G42" s="12" t="s">
        <v>359</v>
      </c>
      <c r="H42" s="12" t="s">
        <v>60</v>
      </c>
    </row>
    <row r="43" spans="1:8" ht="13.5" customHeight="1" x14ac:dyDescent="0.3">
      <c r="A43" s="5" t="s">
        <v>66</v>
      </c>
      <c r="B43" s="5" t="s">
        <v>386</v>
      </c>
      <c r="C43" s="5" t="s">
        <v>387</v>
      </c>
      <c r="D43" s="5" t="s">
        <v>318</v>
      </c>
      <c r="E43" s="5" t="s">
        <v>319</v>
      </c>
      <c r="F43" s="5" t="s">
        <v>388</v>
      </c>
      <c r="G43" s="5" t="s">
        <v>326</v>
      </c>
      <c r="H43" s="5" t="s">
        <v>318</v>
      </c>
    </row>
    <row r="44" spans="1:8" ht="27" customHeight="1" x14ac:dyDescent="0.3">
      <c r="A44" s="5" t="s">
        <v>66</v>
      </c>
      <c r="B44" s="5" t="s">
        <v>389</v>
      </c>
      <c r="C44" s="5" t="s">
        <v>387</v>
      </c>
      <c r="D44" s="5" t="s">
        <v>318</v>
      </c>
      <c r="E44" s="5" t="s">
        <v>319</v>
      </c>
      <c r="F44" s="5" t="s">
        <v>390</v>
      </c>
      <c r="G44" s="5" t="s">
        <v>271</v>
      </c>
      <c r="H44" s="5" t="s">
        <v>318</v>
      </c>
    </row>
    <row r="45" spans="1:8" ht="13.5" customHeight="1" x14ac:dyDescent="0.3">
      <c r="A45" s="5" t="s">
        <v>66</v>
      </c>
      <c r="B45" s="5" t="s">
        <v>391</v>
      </c>
      <c r="C45" s="5" t="s">
        <v>387</v>
      </c>
      <c r="D45" s="5" t="s">
        <v>318</v>
      </c>
      <c r="E45" s="5" t="s">
        <v>319</v>
      </c>
      <c r="F45" s="5" t="s">
        <v>392</v>
      </c>
      <c r="G45" s="5" t="s">
        <v>393</v>
      </c>
      <c r="H45" s="5" t="s">
        <v>318</v>
      </c>
    </row>
  </sheetData>
  <autoFilter ref="A1:H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"/>
  <sheetViews>
    <sheetView workbookViewId="0">
      <pane ySplit="3" topLeftCell="A16" activePane="bottomLeft" state="frozen"/>
      <selection pane="bottomLeft" activeCell="J47" sqref="J47"/>
    </sheetView>
  </sheetViews>
  <sheetFormatPr defaultRowHeight="14.4" x14ac:dyDescent="0.3"/>
  <cols>
    <col min="1" max="1" width="16" customWidth="1"/>
    <col min="2" max="2" width="40" customWidth="1"/>
    <col min="3" max="3" width="3" customWidth="1"/>
    <col min="4" max="4" width="16" customWidth="1"/>
    <col min="5" max="5" width="40" customWidth="1"/>
    <col min="6" max="6" width="3" customWidth="1"/>
    <col min="7" max="7" width="16" customWidth="1"/>
    <col min="8" max="8" width="40" customWidth="1"/>
    <col min="9" max="9" width="3" customWidth="1"/>
    <col min="10" max="10" width="16" customWidth="1"/>
    <col min="11" max="11" width="40" customWidth="1"/>
    <col min="12" max="12" width="3" customWidth="1"/>
    <col min="13" max="13" width="16" customWidth="1"/>
    <col min="14" max="14" width="40" customWidth="1"/>
    <col min="15" max="15" width="3" customWidth="1"/>
    <col min="16" max="16" width="16" customWidth="1"/>
    <col min="17" max="17" width="40" customWidth="1"/>
    <col min="18" max="18" width="3" customWidth="1"/>
    <col min="19" max="19" width="16" customWidth="1"/>
    <col min="20" max="20" width="40" customWidth="1"/>
    <col min="21" max="21" width="10" customWidth="1"/>
    <col min="22" max="22" width="3" customWidth="1"/>
    <col min="23" max="23" width="16" customWidth="1"/>
    <col min="24" max="24" width="40" customWidth="1"/>
    <col min="25" max="25" width="3" customWidth="1"/>
    <col min="26" max="26" width="16" customWidth="1"/>
    <col min="27" max="27" width="40" customWidth="1"/>
    <col min="28" max="28" width="3" customWidth="1"/>
    <col min="29" max="29" width="16" customWidth="1"/>
    <col min="30" max="30" width="40" customWidth="1"/>
    <col min="31" max="31" width="3" customWidth="1"/>
  </cols>
  <sheetData>
    <row r="1" spans="1:30" x14ac:dyDescent="0.3">
      <c r="A1" s="13" t="s">
        <v>394</v>
      </c>
    </row>
    <row r="3" spans="1:30" ht="26.4" x14ac:dyDescent="0.3">
      <c r="A3" s="7" t="s">
        <v>246</v>
      </c>
      <c r="B3" s="7" t="s">
        <v>245</v>
      </c>
      <c r="D3" s="7" t="s">
        <v>248</v>
      </c>
      <c r="E3" s="7" t="s">
        <v>247</v>
      </c>
      <c r="G3" s="7" t="s">
        <v>250</v>
      </c>
      <c r="H3" s="7" t="s">
        <v>249</v>
      </c>
      <c r="J3" s="7" t="s">
        <v>252</v>
      </c>
      <c r="K3" s="7" t="s">
        <v>251</v>
      </c>
      <c r="M3" s="7" t="s">
        <v>254</v>
      </c>
      <c r="N3" s="7" t="s">
        <v>253</v>
      </c>
      <c r="P3" s="7" t="s">
        <v>256</v>
      </c>
      <c r="Q3" s="7" t="s">
        <v>255</v>
      </c>
      <c r="S3" s="7" t="s">
        <v>395</v>
      </c>
      <c r="T3" s="7" t="s">
        <v>396</v>
      </c>
      <c r="U3" s="7" t="s">
        <v>397</v>
      </c>
      <c r="W3" s="7" t="s">
        <v>258</v>
      </c>
      <c r="X3" s="7" t="s">
        <v>257</v>
      </c>
      <c r="Z3" s="7" t="s">
        <v>398</v>
      </c>
      <c r="AA3" s="7" t="s">
        <v>399</v>
      </c>
      <c r="AC3" s="7" t="s">
        <v>378</v>
      </c>
      <c r="AD3" s="7" t="s">
        <v>119</v>
      </c>
    </row>
    <row r="4" spans="1:30" x14ac:dyDescent="0.3">
      <c r="A4" s="14" t="s">
        <v>326</v>
      </c>
      <c r="B4" s="14" t="s">
        <v>271</v>
      </c>
      <c r="D4" s="14" t="s">
        <v>328</v>
      </c>
      <c r="E4" s="14" t="s">
        <v>272</v>
      </c>
      <c r="G4" s="14" t="s">
        <v>330</v>
      </c>
      <c r="H4" s="14" t="s">
        <v>273</v>
      </c>
      <c r="J4" s="14" t="s">
        <v>400</v>
      </c>
      <c r="K4" s="14" t="s">
        <v>299</v>
      </c>
      <c r="M4" s="14" t="s">
        <v>335</v>
      </c>
      <c r="N4" s="14" t="s">
        <v>275</v>
      </c>
      <c r="P4" s="14" t="s">
        <v>337</v>
      </c>
      <c r="Q4" s="14" t="s">
        <v>32</v>
      </c>
      <c r="S4" s="14" t="s">
        <v>347</v>
      </c>
      <c r="T4" s="14" t="s">
        <v>277</v>
      </c>
      <c r="U4" s="14" t="s">
        <v>401</v>
      </c>
      <c r="W4" s="14" t="s">
        <v>339</v>
      </c>
      <c r="X4" s="14" t="s">
        <v>276</v>
      </c>
      <c r="Z4" s="14" t="s">
        <v>345</v>
      </c>
      <c r="AA4" s="14" t="s">
        <v>278</v>
      </c>
      <c r="AC4" s="14" t="s">
        <v>380</v>
      </c>
      <c r="AD4" s="14" t="s">
        <v>122</v>
      </c>
    </row>
    <row r="5" spans="1:30" x14ac:dyDescent="0.3">
      <c r="A5" s="14" t="s">
        <v>402</v>
      </c>
      <c r="B5" s="14" t="s">
        <v>288</v>
      </c>
      <c r="D5" s="14" t="s">
        <v>403</v>
      </c>
      <c r="E5" s="14" t="s">
        <v>301</v>
      </c>
      <c r="G5" s="14" t="s">
        <v>404</v>
      </c>
      <c r="H5" s="14" t="s">
        <v>302</v>
      </c>
      <c r="J5" s="14" t="s">
        <v>333</v>
      </c>
      <c r="K5" s="14" t="s">
        <v>274</v>
      </c>
      <c r="M5" s="14" t="s">
        <v>405</v>
      </c>
      <c r="N5" s="14" t="s">
        <v>293</v>
      </c>
      <c r="P5" s="14" t="s">
        <v>406</v>
      </c>
      <c r="Q5" s="14" t="s">
        <v>281</v>
      </c>
      <c r="S5" s="14" t="s">
        <v>342</v>
      </c>
      <c r="T5" s="14" t="s">
        <v>282</v>
      </c>
      <c r="U5" s="14" t="s">
        <v>393</v>
      </c>
      <c r="W5" s="14" t="s">
        <v>407</v>
      </c>
      <c r="X5" s="14" t="s">
        <v>305</v>
      </c>
      <c r="Z5" s="14" t="s">
        <v>408</v>
      </c>
      <c r="AA5" s="14" t="s">
        <v>306</v>
      </c>
      <c r="AC5" s="14" t="s">
        <v>409</v>
      </c>
      <c r="AD5" s="14" t="s">
        <v>410</v>
      </c>
    </row>
    <row r="6" spans="1:30" x14ac:dyDescent="0.3">
      <c r="A6" s="14" t="s">
        <v>411</v>
      </c>
      <c r="B6" s="14" t="s">
        <v>310</v>
      </c>
      <c r="D6" s="14" t="s">
        <v>412</v>
      </c>
      <c r="E6" s="14" t="s">
        <v>291</v>
      </c>
      <c r="G6" s="14" t="s">
        <v>413</v>
      </c>
      <c r="H6" s="14" t="s">
        <v>292</v>
      </c>
      <c r="J6" s="14" t="s">
        <v>414</v>
      </c>
      <c r="K6" s="14" t="s">
        <v>285</v>
      </c>
      <c r="M6" s="14" t="s">
        <v>415</v>
      </c>
      <c r="N6" s="14" t="s">
        <v>303</v>
      </c>
      <c r="P6" s="14" t="s">
        <v>416</v>
      </c>
      <c r="Q6" s="14" t="s">
        <v>294</v>
      </c>
      <c r="S6" s="14" t="s">
        <v>417</v>
      </c>
      <c r="T6" s="14" t="s">
        <v>295</v>
      </c>
      <c r="U6" s="14" t="s">
        <v>393</v>
      </c>
      <c r="W6" s="14" t="s">
        <v>418</v>
      </c>
      <c r="X6" s="14" t="s">
        <v>419</v>
      </c>
      <c r="Z6" s="14" t="s">
        <v>420</v>
      </c>
      <c r="AA6" s="14" t="s">
        <v>296</v>
      </c>
    </row>
    <row r="7" spans="1:30" x14ac:dyDescent="0.3">
      <c r="J7" s="14" t="s">
        <v>421</v>
      </c>
      <c r="K7" s="14" t="s">
        <v>289</v>
      </c>
      <c r="P7" s="14" t="s">
        <v>422</v>
      </c>
      <c r="Q7" s="14" t="s">
        <v>304</v>
      </c>
      <c r="S7" s="14" t="s">
        <v>423</v>
      </c>
      <c r="T7" s="14" t="s">
        <v>307</v>
      </c>
      <c r="U7" s="14" t="s">
        <v>393</v>
      </c>
    </row>
    <row r="8" spans="1:30" x14ac:dyDescent="0.3">
      <c r="S8" s="14" t="s">
        <v>424</v>
      </c>
      <c r="T8" s="14" t="s">
        <v>304</v>
      </c>
      <c r="U8" s="14" t="s">
        <v>393</v>
      </c>
    </row>
  </sheetData>
  <pageMargins left="0.75" right="0.75" top="1" bottom="1" header="0.5" footer="0.5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2" customWidth="1"/>
    <col min="2" max="2" width="48" customWidth="1"/>
    <col min="3" max="3" width="50" customWidth="1"/>
  </cols>
  <sheetData>
    <row r="1" spans="1:3" x14ac:dyDescent="0.3">
      <c r="A1" s="7" t="s">
        <v>206</v>
      </c>
      <c r="B1" s="7" t="s">
        <v>265</v>
      </c>
      <c r="C1" s="7" t="s">
        <v>364</v>
      </c>
    </row>
    <row r="2" spans="1:3" x14ac:dyDescent="0.3">
      <c r="A2" s="9" t="s">
        <v>367</v>
      </c>
      <c r="B2" s="9" t="s">
        <v>279</v>
      </c>
      <c r="C2" s="9" t="s">
        <v>425</v>
      </c>
    </row>
    <row r="3" spans="1:3" x14ac:dyDescent="0.3">
      <c r="A3" s="9" t="s">
        <v>350</v>
      </c>
      <c r="B3" s="9" t="s">
        <v>283</v>
      </c>
      <c r="C3" s="9" t="s">
        <v>425</v>
      </c>
    </row>
    <row r="4" spans="1:3" x14ac:dyDescent="0.3">
      <c r="A4" s="9" t="s">
        <v>426</v>
      </c>
      <c r="B4" s="9" t="s">
        <v>297</v>
      </c>
      <c r="C4" s="9" t="s">
        <v>366</v>
      </c>
    </row>
    <row r="5" spans="1:3" x14ac:dyDescent="0.3">
      <c r="A5" s="9" t="s">
        <v>427</v>
      </c>
      <c r="B5" s="9" t="s">
        <v>308</v>
      </c>
      <c r="C5" s="9" t="s">
        <v>366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F41" sqref="F41"/>
    </sheetView>
  </sheetViews>
  <sheetFormatPr defaultRowHeight="14.4" x14ac:dyDescent="0.3"/>
  <cols>
    <col min="1" max="1" width="44" customWidth="1"/>
    <col min="2" max="2" width="12" customWidth="1"/>
    <col min="3" max="3" width="10" customWidth="1"/>
    <col min="4" max="5" width="13" customWidth="1"/>
    <col min="6" max="6" width="22" customWidth="1"/>
    <col min="7" max="7" width="14" customWidth="1"/>
    <col min="8" max="8" width="13" customWidth="1"/>
    <col min="9" max="9" width="26" customWidth="1"/>
  </cols>
  <sheetData>
    <row r="1" spans="1:9" ht="26.4" x14ac:dyDescent="0.3">
      <c r="A1" s="7" t="s">
        <v>265</v>
      </c>
      <c r="B1" s="8" t="s">
        <v>206</v>
      </c>
      <c r="C1" s="7" t="s">
        <v>116</v>
      </c>
      <c r="D1" s="7" t="s">
        <v>117</v>
      </c>
      <c r="E1" s="7" t="s">
        <v>118</v>
      </c>
      <c r="F1" s="7" t="s">
        <v>119</v>
      </c>
      <c r="G1" s="8" t="s">
        <v>378</v>
      </c>
      <c r="H1" s="7" t="s">
        <v>120</v>
      </c>
      <c r="I1" s="8" t="s">
        <v>269</v>
      </c>
    </row>
    <row r="2" spans="1:9" x14ac:dyDescent="0.3">
      <c r="A2" s="9" t="s">
        <v>279</v>
      </c>
      <c r="B2" s="10" t="str">
        <f>IF(A2="","",IFERROR(INDEX(Шкалы!$A$2:$A$500,MATCH(A2,Шкалы!$B$2:$B$500,0)),"!нет в справочнике"))</f>
        <v>SC-001</v>
      </c>
      <c r="C2" s="9">
        <v>1</v>
      </c>
      <c r="D2" s="9">
        <v>0</v>
      </c>
      <c r="E2" s="9">
        <v>3</v>
      </c>
      <c r="F2" s="9" t="s">
        <v>122</v>
      </c>
      <c r="G2" s="10" t="str">
        <f>IF(F2="","",IFERROR(INDEX(Справочники!$AC$2:$AC$500,MATCH(F2,Справочники!$AD$2:$AD$500,0)),"!нет в справочнике"))</f>
        <v>CONST</v>
      </c>
      <c r="H2" s="15">
        <v>0</v>
      </c>
      <c r="I2" s="10" t="str">
        <f t="shared" ref="I2:I15" si="0">IF(A2="","",IF(OR(B2="",LEFT(B2,1)="!"),"Шкала не найдена",IF(OR(C2="",D2="",F2=""),"Не заполнены обязательные поля",IF(AND(G2="CONST",H2=""),"Не указан множитель",IF(AND(G2="KPI_SCALE",H2&lt;&gt;""),"Множитель должен быть пустым",IF(COUNTIFS($B$2:$B$500,B2,$C$2:$C$500,C2)&gt;1,"Дубль номера ступени",IF(AND(E2&lt;&gt;"",N(E2)&lt;=N(D2)),"значение_до &lt;= значение_от",IF(SUMPRODUCT(($B$2:$B$500=B2)*(ROW($B$2:$B$500)&lt;&gt;ROW())*($D$2:$D$500&lt;(E2="")*1E+99+N(E2))*((($E$2:$E$500="")*1E+99+$E$2:$E$500)&gt;D2))&gt;0,"Пересечение диапазонов",IF(AND(E2&lt;&gt;"",COUNTIFS($B$2:$B$500,B2,$D$2:$D$500,E2)=0),"Разрыв после значения "&amp;E2,"ОК")))))))))</f>
        <v>ОК</v>
      </c>
    </row>
    <row r="3" spans="1:9" x14ac:dyDescent="0.3">
      <c r="A3" s="9" t="s">
        <v>279</v>
      </c>
      <c r="B3" s="10" t="str">
        <f>IF(A3="","",IFERROR(INDEX(Шкалы!$A$2:$A$500,MATCH(A3,Шкалы!$B$2:$B$500,0)),"!нет в справочнике"))</f>
        <v>SC-001</v>
      </c>
      <c r="C3" s="9">
        <v>2</v>
      </c>
      <c r="D3" s="9">
        <v>3</v>
      </c>
      <c r="E3" s="9">
        <v>6</v>
      </c>
      <c r="F3" s="9" t="s">
        <v>122</v>
      </c>
      <c r="G3" s="10" t="str">
        <f>IF(F3="","",IFERROR(INDEX(Справочники!$AC$2:$AC$500,MATCH(F3,Справочники!$AD$2:$AD$500,0)),"!нет в справочнике"))</f>
        <v>CONST</v>
      </c>
      <c r="H3" s="15">
        <v>10000</v>
      </c>
      <c r="I3" s="10" t="str">
        <f t="shared" si="0"/>
        <v>ОК</v>
      </c>
    </row>
    <row r="4" spans="1:9" x14ac:dyDescent="0.3">
      <c r="A4" s="9" t="s">
        <v>279</v>
      </c>
      <c r="B4" s="10" t="str">
        <f>IF(A4="","",IFERROR(INDEX(Шкалы!$A$2:$A$500,MATCH(A4,Шкалы!$B$2:$B$500,0)),"!нет в справочнике"))</f>
        <v>SC-001</v>
      </c>
      <c r="C4" s="9">
        <v>3</v>
      </c>
      <c r="D4" s="9">
        <v>6</v>
      </c>
      <c r="E4" s="9">
        <v>15</v>
      </c>
      <c r="F4" s="9" t="s">
        <v>122</v>
      </c>
      <c r="G4" s="10" t="str">
        <f>IF(F4="","",IFERROR(INDEX(Справочники!$AC$2:$AC$500,MATCH(F4,Справочники!$AD$2:$AD$500,0)),"!нет в справочнике"))</f>
        <v>CONST</v>
      </c>
      <c r="H4" s="15">
        <v>15000</v>
      </c>
      <c r="I4" s="10" t="str">
        <f t="shared" si="0"/>
        <v>ОК</v>
      </c>
    </row>
    <row r="5" spans="1:9" x14ac:dyDescent="0.3">
      <c r="A5" s="9" t="s">
        <v>279</v>
      </c>
      <c r="B5" s="10" t="str">
        <f>IF(A5="","",IFERROR(INDEX(Шкалы!$A$2:$A$500,MATCH(A5,Шкалы!$B$2:$B$500,0)),"!нет в справочнике"))</f>
        <v>SC-001</v>
      </c>
      <c r="C5" s="9">
        <v>4</v>
      </c>
      <c r="D5" s="9">
        <v>15</v>
      </c>
      <c r="E5" s="9"/>
      <c r="F5" s="9" t="s">
        <v>122</v>
      </c>
      <c r="G5" s="10" t="str">
        <f>IF(F5="","",IFERROR(INDEX(Справочники!$AC$2:$AC$500,MATCH(F5,Справочники!$AD$2:$AD$500,0)),"!нет в справочнике"))</f>
        <v>CONST</v>
      </c>
      <c r="H5" s="15">
        <v>17000</v>
      </c>
      <c r="I5" s="10" t="str">
        <f t="shared" si="0"/>
        <v>ОК</v>
      </c>
    </row>
    <row r="6" spans="1:9" x14ac:dyDescent="0.3">
      <c r="A6" s="9" t="s">
        <v>283</v>
      </c>
      <c r="B6" s="10" t="str">
        <f>IF(A6="","",IFERROR(INDEX(Шкалы!$A$2:$A$500,MATCH(A6,Шкалы!$B$2:$B$500,0)),"!нет в справочнике"))</f>
        <v>SC-002</v>
      </c>
      <c r="C6" s="9">
        <v>1</v>
      </c>
      <c r="D6" s="9">
        <v>0</v>
      </c>
      <c r="E6" s="9">
        <v>3</v>
      </c>
      <c r="F6" s="9" t="s">
        <v>122</v>
      </c>
      <c r="G6" s="10" t="str">
        <f>IF(F6="","",IFERROR(INDEX(Справочники!$AC$2:$AC$500,MATCH(F6,Справочники!$AD$2:$AD$500,0)),"!нет в справочнике"))</f>
        <v>CONST</v>
      </c>
      <c r="H6" s="15">
        <v>0</v>
      </c>
      <c r="I6" s="10" t="str">
        <f t="shared" si="0"/>
        <v>ОК</v>
      </c>
    </row>
    <row r="7" spans="1:9" x14ac:dyDescent="0.3">
      <c r="A7" s="9" t="s">
        <v>283</v>
      </c>
      <c r="B7" s="10" t="str">
        <f>IF(A7="","",IFERROR(INDEX(Шкалы!$A$2:$A$500,MATCH(A7,Шкалы!$B$2:$B$500,0)),"!нет в справочнике"))</f>
        <v>SC-002</v>
      </c>
      <c r="C7" s="9">
        <v>2</v>
      </c>
      <c r="D7" s="9">
        <v>3</v>
      </c>
      <c r="E7" s="9">
        <v>6</v>
      </c>
      <c r="F7" s="9" t="s">
        <v>122</v>
      </c>
      <c r="G7" s="10" t="str">
        <f>IF(F7="","",IFERROR(INDEX(Справочники!$AC$2:$AC$500,MATCH(F7,Справочники!$AD$2:$AD$500,0)),"!нет в справочнике"))</f>
        <v>CONST</v>
      </c>
      <c r="H7" s="15">
        <v>0.02</v>
      </c>
      <c r="I7" s="10" t="str">
        <f t="shared" si="0"/>
        <v>ОК</v>
      </c>
    </row>
    <row r="8" spans="1:9" x14ac:dyDescent="0.3">
      <c r="A8" s="9" t="s">
        <v>283</v>
      </c>
      <c r="B8" s="10" t="str">
        <f>IF(A8="","",IFERROR(INDEX(Шкалы!$A$2:$A$500,MATCH(A8,Шкалы!$B$2:$B$500,0)),"!нет в справочнике"))</f>
        <v>SC-002</v>
      </c>
      <c r="C8" s="9">
        <v>3</v>
      </c>
      <c r="D8" s="9">
        <v>6</v>
      </c>
      <c r="E8" s="9">
        <v>15</v>
      </c>
      <c r="F8" s="9" t="s">
        <v>122</v>
      </c>
      <c r="G8" s="10" t="str">
        <f>IF(F8="","",IFERROR(INDEX(Справочники!$AC$2:$AC$500,MATCH(F8,Справочники!$AD$2:$AD$500,0)),"!нет в справочнике"))</f>
        <v>CONST</v>
      </c>
      <c r="H8" s="15">
        <v>0.04</v>
      </c>
      <c r="I8" s="10" t="str">
        <f t="shared" si="0"/>
        <v>ОК</v>
      </c>
    </row>
    <row r="9" spans="1:9" x14ac:dyDescent="0.3">
      <c r="A9" s="9" t="s">
        <v>283</v>
      </c>
      <c r="B9" s="10" t="str">
        <f>IF(A9="","",IFERROR(INDEX(Шкалы!$A$2:$A$500,MATCH(A9,Шкалы!$B$2:$B$500,0)),"!нет в справочнике"))</f>
        <v>SC-002</v>
      </c>
      <c r="C9" s="9">
        <v>4</v>
      </c>
      <c r="D9" s="9">
        <v>15</v>
      </c>
      <c r="E9" s="9"/>
      <c r="F9" s="9" t="s">
        <v>122</v>
      </c>
      <c r="G9" s="10" t="str">
        <f>IF(F9="","",IFERROR(INDEX(Справочники!$AC$2:$AC$500,MATCH(F9,Справочники!$AD$2:$AD$500,0)),"!нет в справочнике"))</f>
        <v>CONST</v>
      </c>
      <c r="H9" s="15">
        <v>0.05</v>
      </c>
      <c r="I9" s="10" t="str">
        <f t="shared" si="0"/>
        <v>ОК</v>
      </c>
    </row>
    <row r="10" spans="1:9" x14ac:dyDescent="0.3">
      <c r="A10" s="9" t="s">
        <v>297</v>
      </c>
      <c r="B10" s="10" t="str">
        <f>IF(A10="","",IFERROR(INDEX(Шкалы!$A$2:$A$500,MATCH(A10,Шкалы!$B$2:$B$500,0)),"!нет в справочнике"))</f>
        <v>SC-003</v>
      </c>
      <c r="C10" s="9">
        <v>1</v>
      </c>
      <c r="D10" s="16">
        <v>0</v>
      </c>
      <c r="E10" s="16">
        <v>0.8</v>
      </c>
      <c r="F10" s="9" t="s">
        <v>122</v>
      </c>
      <c r="G10" s="10" t="str">
        <f>IF(F10="","",IFERROR(INDEX(Справочники!$AC$2:$AC$500,MATCH(F10,Справочники!$AD$2:$AD$500,0)),"!нет в справочнике"))</f>
        <v>CONST</v>
      </c>
      <c r="H10" s="15">
        <v>0</v>
      </c>
      <c r="I10" s="10" t="str">
        <f t="shared" si="0"/>
        <v>ОК</v>
      </c>
    </row>
    <row r="11" spans="1:9" x14ac:dyDescent="0.3">
      <c r="A11" s="9" t="s">
        <v>297</v>
      </c>
      <c r="B11" s="10" t="str">
        <f>IF(A11="","",IFERROR(INDEX(Шкалы!$A$2:$A$500,MATCH(A11,Шкалы!$B$2:$B$500,0)),"!нет в справочнике"))</f>
        <v>SC-003</v>
      </c>
      <c r="C11" s="9">
        <v>2</v>
      </c>
      <c r="D11" s="16">
        <v>0.8</v>
      </c>
      <c r="E11" s="16">
        <v>1.2</v>
      </c>
      <c r="F11" s="9" t="s">
        <v>410</v>
      </c>
      <c r="G11" s="10" t="str">
        <f>IF(F11="","",IFERROR(INDEX(Справочники!$AC$2:$AC$500,MATCH(F11,Справочники!$AD$2:$AD$500,0)),"!нет в справочнике"))</f>
        <v>KPI_SCALE</v>
      </c>
      <c r="H11" s="15"/>
      <c r="I11" s="10" t="str">
        <f t="shared" si="0"/>
        <v>ОК</v>
      </c>
    </row>
    <row r="12" spans="1:9" x14ac:dyDescent="0.3">
      <c r="A12" s="9" t="s">
        <v>297</v>
      </c>
      <c r="B12" s="10" t="str">
        <f>IF(A12="","",IFERROR(INDEX(Шкалы!$A$2:$A$500,MATCH(A12,Шкалы!$B$2:$B$500,0)),"!нет в справочнике"))</f>
        <v>SC-003</v>
      </c>
      <c r="C12" s="9">
        <v>3</v>
      </c>
      <c r="D12" s="16">
        <v>1.2</v>
      </c>
      <c r="E12" s="16"/>
      <c r="F12" s="9" t="s">
        <v>122</v>
      </c>
      <c r="G12" s="10" t="str">
        <f>IF(F12="","",IFERROR(INDEX(Справочники!$AC$2:$AC$500,MATCH(F12,Справочники!$AD$2:$AD$500,0)),"!нет в справочнике"))</f>
        <v>CONST</v>
      </c>
      <c r="H12" s="15">
        <v>1.2</v>
      </c>
      <c r="I12" s="10" t="str">
        <f t="shared" si="0"/>
        <v>ОК</v>
      </c>
    </row>
    <row r="13" spans="1:9" x14ac:dyDescent="0.3">
      <c r="A13" s="9" t="s">
        <v>308</v>
      </c>
      <c r="B13" s="10" t="str">
        <f>IF(A13="","",IFERROR(INDEX(Шкалы!$A$2:$A$500,MATCH(A13,Шкалы!$B$2:$B$500,0)),"!нет в справочнике"))</f>
        <v>SC-004</v>
      </c>
      <c r="C13" s="9">
        <v>1</v>
      </c>
      <c r="D13" s="16">
        <v>0</v>
      </c>
      <c r="E13" s="16">
        <v>0.8</v>
      </c>
      <c r="F13" s="9" t="s">
        <v>122</v>
      </c>
      <c r="G13" s="10" t="str">
        <f>IF(F13="","",IFERROR(INDEX(Справочники!$AC$2:$AC$500,MATCH(F13,Справочники!$AD$2:$AD$500,0)),"!нет в справочнике"))</f>
        <v>CONST</v>
      </c>
      <c r="H13" s="15">
        <v>0.5</v>
      </c>
      <c r="I13" s="10" t="str">
        <f t="shared" si="0"/>
        <v>ОК</v>
      </c>
    </row>
    <row r="14" spans="1:9" x14ac:dyDescent="0.3">
      <c r="A14" s="9" t="s">
        <v>308</v>
      </c>
      <c r="B14" s="10" t="str">
        <f>IF(A14="","",IFERROR(INDEX(Шкалы!$A$2:$A$500,MATCH(A14,Шкалы!$B$2:$B$500,0)),"!нет в справочнике"))</f>
        <v>SC-004</v>
      </c>
      <c r="C14" s="9">
        <v>2</v>
      </c>
      <c r="D14" s="16">
        <v>0.8</v>
      </c>
      <c r="E14" s="16">
        <v>1.2</v>
      </c>
      <c r="F14" s="9" t="s">
        <v>410</v>
      </c>
      <c r="G14" s="10" t="str">
        <f>IF(F14="","",IFERROR(INDEX(Справочники!$AC$2:$AC$500,MATCH(F14,Справочники!$AD$2:$AD$500,0)),"!нет в справочнике"))</f>
        <v>KPI_SCALE</v>
      </c>
      <c r="H14" s="15"/>
      <c r="I14" s="10" t="str">
        <f t="shared" si="0"/>
        <v>ОК</v>
      </c>
    </row>
    <row r="15" spans="1:9" x14ac:dyDescent="0.3">
      <c r="A15" s="9" t="s">
        <v>308</v>
      </c>
      <c r="B15" s="10" t="str">
        <f>IF(A15="","",IFERROR(INDEX(Шкалы!$A$2:$A$500,MATCH(A15,Шкалы!$B$2:$B$500,0)),"!нет в справочнике"))</f>
        <v>SC-004</v>
      </c>
      <c r="C15" s="9">
        <v>3</v>
      </c>
      <c r="D15" s="16">
        <v>1.2</v>
      </c>
      <c r="E15" s="16"/>
      <c r="F15" s="9" t="s">
        <v>122</v>
      </c>
      <c r="G15" s="10" t="str">
        <f>IF(F15="","",IFERROR(INDEX(Справочники!$AC$2:$AC$500,MATCH(F15,Справочники!$AD$2:$AD$500,0)),"!нет в справочнике"))</f>
        <v>CONST</v>
      </c>
      <c r="H15" s="15">
        <v>1.2</v>
      </c>
      <c r="I15" s="10" t="str">
        <f t="shared" si="0"/>
        <v>ОК</v>
      </c>
    </row>
  </sheetData>
  <conditionalFormatting sqref="H2:H500">
    <cfRule type="expression" dxfId="4" priority="1">
      <formula>$G2="KPI_SCALE"</formula>
    </cfRule>
  </conditionalFormatting>
  <conditionalFormatting sqref="I2:I500">
    <cfRule type="expression" dxfId="3" priority="2">
      <formula>AND($I2&lt;&gt;"",$I2&lt;&gt;"ОК")</formula>
    </cfRule>
    <cfRule type="expression" dxfId="2" priority="3">
      <formula>$I2="ОК"</formula>
    </cfRule>
  </conditionalFormatting>
  <dataValidations count="4">
    <dataValidation type="list" allowBlank="1" showErrorMessage="1" errorTitle="Шкала" error="Выберите значение из списка." sqref="A2:A500" xr:uid="{00000000-0002-0000-0500-000000000000}">
      <formula1>INDIRECT("scale[шкала]")</formula1>
    </dataValidation>
    <dataValidation type="list" allowBlank="1" showErrorMessage="1" errorTitle="Тип множителя" error="Выберите значение из списка." sqref="F2:F500" xr:uid="{00000000-0002-0000-0500-000001000000}">
      <formula1>INDIRECT("ref_mult_type[тип_множителя]")</formula1>
    </dataValidation>
    <dataValidation type="decimal" operator="greaterThanOrEqual" allowBlank="1" showErrorMessage="1" errorTitle="Число" error="Введите число &gt;= 0." sqref="H2:H500 D2:E500" xr:uid="{00000000-0002-0000-0500-000002000000}">
      <formula1>0</formula1>
    </dataValidation>
    <dataValidation type="whole" operator="greaterThanOrEqual" allowBlank="1" showErrorMessage="1" error="Целое число &gt;= 1." sqref="C2:C500" xr:uid="{00000000-0002-0000-0500-000005000000}">
      <formula1>1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RowHeight="14.4" x14ac:dyDescent="0.3"/>
  <cols>
    <col min="1" max="1" width="26" customWidth="1"/>
    <col min="2" max="3" width="12" customWidth="1"/>
  </cols>
  <sheetData>
    <row r="1" spans="1:3" ht="15.6" x14ac:dyDescent="0.3">
      <c r="A1" s="17" t="s">
        <v>428</v>
      </c>
    </row>
    <row r="3" spans="1:3" x14ac:dyDescent="0.3">
      <c r="A3" s="18" t="s">
        <v>198</v>
      </c>
      <c r="B3" s="18" t="s">
        <v>429</v>
      </c>
      <c r="C3" s="18" t="s">
        <v>430</v>
      </c>
    </row>
    <row r="4" spans="1:3" x14ac:dyDescent="0.3">
      <c r="A4" s="19" t="s">
        <v>61</v>
      </c>
      <c r="B4" s="19">
        <f>COUNTA(ПОТ_Премии!A2:A500)</f>
        <v>9</v>
      </c>
      <c r="C4" s="19">
        <f>COUNTIFS(ПОТ_Премии!A2:A500,"&lt;&gt;",ПОТ_Премии!AC2:AC500,"&lt;&gt;ОК")</f>
        <v>0</v>
      </c>
    </row>
    <row r="5" spans="1:3" x14ac:dyDescent="0.3">
      <c r="A5" s="19" t="s">
        <v>74</v>
      </c>
      <c r="B5" s="19">
        <f>COUNTA(Шкалы_ступени!A2:A500)</f>
        <v>14</v>
      </c>
      <c r="C5" s="19">
        <f>COUNTIFS(Шкалы_ступени!A2:A500,"&lt;&gt;",Шкалы_ступени!I2:I500,"&lt;&gt;ОК")</f>
        <v>0</v>
      </c>
    </row>
    <row r="6" spans="1:3" x14ac:dyDescent="0.3">
      <c r="A6" s="19" t="s">
        <v>431</v>
      </c>
      <c r="B6" s="19">
        <f>COUNTA(Шкалы!A2:A500)</f>
        <v>4</v>
      </c>
      <c r="C6" s="19">
        <f>SUMPRODUCT((Шкалы!A2:A500&lt;&gt;"")*(COUNTIF(ПОТ_Премии!Y2:Y500,Шкалы!A2:A500)=0))</f>
        <v>0</v>
      </c>
    </row>
    <row r="7" spans="1:3" x14ac:dyDescent="0.3">
      <c r="A7" s="19"/>
      <c r="B7" s="19"/>
      <c r="C7" s="19"/>
    </row>
    <row r="8" spans="1:3" x14ac:dyDescent="0.3">
      <c r="A8" s="20" t="s">
        <v>432</v>
      </c>
      <c r="B8" s="20" t="str">
        <f>IF(C4+C5=0,"ДА","НЕТ — исправьте строки со статусом, отличным от ОК")</f>
        <v>ДА</v>
      </c>
      <c r="C8" s="19"/>
    </row>
    <row r="9" spans="1:3" x14ac:dyDescent="0.3">
      <c r="A9" s="19" t="s">
        <v>433</v>
      </c>
      <c r="B9" s="19"/>
      <c r="C9" s="19"/>
    </row>
  </sheetData>
  <conditionalFormatting sqref="B8">
    <cfRule type="expression" dxfId="1" priority="1">
      <formula>$B$8="ДА"</formula>
    </cfRule>
    <cfRule type="expression" dxfId="0" priority="2">
      <formula>$B$8&lt;&gt;"ДА"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"/>
  <sheetViews>
    <sheetView workbookViewId="0">
      <pane xSplit="2" ySplit="3" topLeftCell="C4" activePane="bottomRight" state="frozen"/>
      <selection pane="topRight"/>
      <selection pane="bottomLeft"/>
      <selection pane="bottomRight" activeCell="G35" sqref="G35"/>
    </sheetView>
  </sheetViews>
  <sheetFormatPr defaultRowHeight="14.4" x14ac:dyDescent="0.3"/>
  <cols>
    <col min="1" max="1" width="10" customWidth="1"/>
    <col min="2" max="2" width="28" customWidth="1"/>
    <col min="3" max="3" width="11" customWidth="1"/>
    <col min="4" max="4" width="18" customWidth="1"/>
    <col min="5" max="5" width="28" customWidth="1"/>
    <col min="6" max="6" width="14" customWidth="1"/>
    <col min="7" max="7" width="34" customWidth="1"/>
    <col min="8" max="8" width="44" customWidth="1"/>
    <col min="9" max="9" width="31.5546875" customWidth="1"/>
    <col min="10" max="10" width="25.5546875" customWidth="1"/>
    <col min="11" max="11" width="14.33203125" customWidth="1"/>
    <col min="12" max="12" width="13.6640625" customWidth="1"/>
    <col min="13" max="13" width="16.21875" customWidth="1"/>
    <col min="14" max="14" width="11" customWidth="1"/>
    <col min="15" max="15" width="14" customWidth="1"/>
  </cols>
  <sheetData>
    <row r="1" spans="1:15" x14ac:dyDescent="0.3">
      <c r="A1" s="21" t="s">
        <v>434</v>
      </c>
    </row>
    <row r="3" spans="1:15" ht="31.95" customHeight="1" x14ac:dyDescent="0.3">
      <c r="A3" s="7" t="s">
        <v>435</v>
      </c>
      <c r="B3" s="7" t="s">
        <v>436</v>
      </c>
      <c r="C3" s="7" t="s">
        <v>245</v>
      </c>
      <c r="D3" s="7" t="s">
        <v>247</v>
      </c>
      <c r="E3" s="7" t="s">
        <v>249</v>
      </c>
      <c r="F3" s="7" t="s">
        <v>251</v>
      </c>
      <c r="G3" s="7" t="s">
        <v>253</v>
      </c>
      <c r="H3" s="7" t="s">
        <v>255</v>
      </c>
      <c r="I3" s="7" t="s">
        <v>437</v>
      </c>
      <c r="J3" s="7" t="s">
        <v>438</v>
      </c>
      <c r="K3" s="8" t="s">
        <v>9</v>
      </c>
      <c r="L3" s="8" t="s">
        <v>206</v>
      </c>
      <c r="M3" s="8" t="s">
        <v>116</v>
      </c>
      <c r="N3" s="8" t="s">
        <v>120</v>
      </c>
      <c r="O3" s="8" t="s">
        <v>439</v>
      </c>
    </row>
    <row r="4" spans="1:15" x14ac:dyDescent="0.3">
      <c r="A4" s="9" t="s">
        <v>440</v>
      </c>
      <c r="B4" s="9" t="s">
        <v>441</v>
      </c>
      <c r="C4" s="9" t="s">
        <v>271</v>
      </c>
      <c r="D4" s="9" t="s">
        <v>272</v>
      </c>
      <c r="E4" s="9" t="s">
        <v>273</v>
      </c>
      <c r="F4" s="9" t="s">
        <v>274</v>
      </c>
      <c r="G4" s="9" t="s">
        <v>275</v>
      </c>
      <c r="H4" s="9" t="s">
        <v>32</v>
      </c>
      <c r="I4" s="22">
        <v>10</v>
      </c>
      <c r="J4" s="22">
        <v>10</v>
      </c>
      <c r="K4" s="10" t="str">
        <f>IFERROR(INDEX(ПОТ_Премии!$A$2:$A$500,MATCH(1,INDEX((ПОТ_Премии!$B$2:$B$500=C4)*(ПОТ_Премии!$D$2:$D$500=D4)*(ПОТ_Премии!$F$2:$F$500=E4)*(ПОТ_Премии!$H$2:$H$500=F4)*(ПОТ_Премии!$J$2:$J$500=G4)*(ПОТ_Премии!$L$2:$L$500=H4),0),0)),"ПОТ не найден")</f>
        <v>ПОТ-001</v>
      </c>
      <c r="L4" s="10" t="str">
        <f>IFERROR(INDEX(ПОТ_Премии!$Y$2:$Y$500,MATCH(K4,ПОТ_Премии!$A$2:$A$500,0)),"")</f>
        <v>SC-001</v>
      </c>
      <c r="M4" s="10">
        <f>IF(L4="","",SUMIFS(Шкалы_ступени!$C$2:$C$500,Шкалы_ступени!$B$2:$B$500,L4,Шкалы_ступени!$D$2:$D$500,"&lt;="&amp;J4,Шкалы_ступени!$E$2:$E$500,"&gt;"&amp;J4)+SUMIFS(Шкалы_ступени!$C$2:$C$500,Шкалы_ступени!$B$2:$B$500,L4,Шкалы_ступени!$D$2:$D$500,"&lt;="&amp;J4,Шкалы_ступени!$E$2:$E$500,"="))</f>
        <v>3</v>
      </c>
      <c r="N4" s="23">
        <f>IF(OR(L4="",M4=0),"",IF(INDEX(Шкалы_ступени!$G$2:$G$500,MATCH(1,INDEX((Шкалы_ступени!$B$2:$B$500=L4)*(Шкалы_ступени!$C$2:$C$500=M4),0),0))="KPI_SCALE",J4,INDEX(Шкалы_ступени!$H$2:$H$500,MATCH(1,INDEX((Шкалы_ступени!$B$2:$B$500=L4)*(Шкалы_ступени!$C$2:$C$500=M4),0),0))))</f>
        <v>15000</v>
      </c>
      <c r="O4" s="24">
        <f t="shared" ref="O4:O10" si="0">IF(N4="","",ROUND(I4*N4,2))</f>
        <v>150000</v>
      </c>
    </row>
    <row r="5" spans="1:15" x14ac:dyDescent="0.3">
      <c r="A5" s="9" t="s">
        <v>442</v>
      </c>
      <c r="B5" s="9" t="s">
        <v>441</v>
      </c>
      <c r="C5" s="9" t="s">
        <v>271</v>
      </c>
      <c r="D5" s="9" t="s">
        <v>272</v>
      </c>
      <c r="E5" s="9" t="s">
        <v>273</v>
      </c>
      <c r="F5" s="9" t="s">
        <v>274</v>
      </c>
      <c r="G5" s="9" t="s">
        <v>275</v>
      </c>
      <c r="H5" s="9" t="s">
        <v>281</v>
      </c>
      <c r="I5" s="22">
        <v>12000000</v>
      </c>
      <c r="J5" s="22">
        <v>12</v>
      </c>
      <c r="K5" s="10" t="str">
        <f>IFERROR(INDEX(ПОТ_Премии!$A$2:$A$500,MATCH(1,INDEX((ПОТ_Премии!$B$2:$B$500=C5)*(ПОТ_Премии!$D$2:$D$500=D5)*(ПОТ_Премии!$F$2:$F$500=E5)*(ПОТ_Премии!$H$2:$H$500=F5)*(ПОТ_Премии!$J$2:$J$500=G5)*(ПОТ_Премии!$L$2:$L$500=H5),0),0)),"ПОТ не найден")</f>
        <v>ПОТ-002</v>
      </c>
      <c r="L5" s="10" t="str">
        <f>IFERROR(INDEX(ПОТ_Премии!$Y$2:$Y$500,MATCH(K5,ПОТ_Премии!$A$2:$A$500,0)),"")</f>
        <v>SC-002</v>
      </c>
      <c r="M5" s="10">
        <f>IF(L5="","",SUMIFS(Шкалы_ступени!$C$2:$C$500,Шкалы_ступени!$B$2:$B$500,L5,Шкалы_ступени!$D$2:$D$500,"&lt;="&amp;J5,Шкалы_ступени!$E$2:$E$500,"&gt;"&amp;J5)+SUMIFS(Шкалы_ступени!$C$2:$C$500,Шкалы_ступени!$B$2:$B$500,L5,Шкалы_ступени!$D$2:$D$500,"&lt;="&amp;J5,Шкалы_ступени!$E$2:$E$500,"="))</f>
        <v>3</v>
      </c>
      <c r="N5" s="23">
        <f>IF(OR(L5="",M5=0),"",IF(INDEX(Шкалы_ступени!$G$2:$G$500,MATCH(1,INDEX((Шкалы_ступени!$B$2:$B$500=L5)*(Шкалы_ступени!$C$2:$C$500=M5),0),0))="KPI_SCALE",J5,INDEX(Шкалы_ступени!$H$2:$H$500,MATCH(1,INDEX((Шкалы_ступени!$B$2:$B$500=L5)*(Шкалы_ступени!$C$2:$C$500=M5),0),0))))</f>
        <v>0.04</v>
      </c>
      <c r="O5" s="24">
        <f t="shared" si="0"/>
        <v>480000</v>
      </c>
    </row>
    <row r="6" spans="1:15" x14ac:dyDescent="0.3">
      <c r="A6" s="9" t="s">
        <v>443</v>
      </c>
      <c r="B6" s="9" t="s">
        <v>444</v>
      </c>
      <c r="C6" s="9" t="s">
        <v>271</v>
      </c>
      <c r="D6" s="9" t="s">
        <v>272</v>
      </c>
      <c r="E6" s="9" t="s">
        <v>273</v>
      </c>
      <c r="F6" s="9" t="s">
        <v>285</v>
      </c>
      <c r="G6" s="9" t="s">
        <v>275</v>
      </c>
      <c r="H6" s="9" t="s">
        <v>32</v>
      </c>
      <c r="I6" s="22">
        <v>30</v>
      </c>
      <c r="J6" s="22">
        <v>30</v>
      </c>
      <c r="K6" s="10" t="str">
        <f>IFERROR(INDEX(ПОТ_Премии!$A$2:$A$500,MATCH(1,INDEX((ПОТ_Премии!$B$2:$B$500=C6)*(ПОТ_Премии!$D$2:$D$500=D6)*(ПОТ_Премии!$F$2:$F$500=E6)*(ПОТ_Премии!$H$2:$H$500=F6)*(ПОТ_Премии!$J$2:$J$500=G6)*(ПОТ_Премии!$L$2:$L$500=H6),0),0)),"ПОТ не найден")</f>
        <v>ПОТ-003</v>
      </c>
      <c r="L6" s="10" t="str">
        <f>IFERROR(INDEX(ПОТ_Премии!$Y$2:$Y$500,MATCH(K6,ПОТ_Премии!$A$2:$A$500,0)),"")</f>
        <v>SC-001</v>
      </c>
      <c r="M6" s="10">
        <f>IF(L6="","",SUMIFS(Шкалы_ступени!$C$2:$C$500,Шкалы_ступени!$B$2:$B$500,L6,Шкалы_ступени!$D$2:$D$500,"&lt;="&amp;J6,Шкалы_ступени!$E$2:$E$500,"&gt;"&amp;J6)+SUMIFS(Шкалы_ступени!$C$2:$C$500,Шкалы_ступени!$B$2:$B$500,L6,Шкалы_ступени!$D$2:$D$500,"&lt;="&amp;J6,Шкалы_ступени!$E$2:$E$500,"="))</f>
        <v>4</v>
      </c>
      <c r="N6" s="23">
        <f>IF(OR(L6="",M6=0),"",IF(INDEX(Шкалы_ступени!$G$2:$G$500,MATCH(1,INDEX((Шкалы_ступени!$B$2:$B$500=L6)*(Шкалы_ступени!$C$2:$C$500=M6),0),0))="KPI_SCALE",J6,INDEX(Шкалы_ступени!$H$2:$H$500,MATCH(1,INDEX((Шкалы_ступени!$B$2:$B$500=L6)*(Шкалы_ступени!$C$2:$C$500=M6),0),0))))</f>
        <v>17000</v>
      </c>
      <c r="O6" s="24">
        <f t="shared" si="0"/>
        <v>510000</v>
      </c>
    </row>
    <row r="7" spans="1:15" x14ac:dyDescent="0.3">
      <c r="A7" s="9" t="s">
        <v>445</v>
      </c>
      <c r="B7" s="9" t="s">
        <v>446</v>
      </c>
      <c r="C7" s="9" t="s">
        <v>288</v>
      </c>
      <c r="D7" s="9" t="s">
        <v>291</v>
      </c>
      <c r="E7" s="9" t="s">
        <v>292</v>
      </c>
      <c r="F7" s="9" t="s">
        <v>299</v>
      </c>
      <c r="G7" s="9" t="s">
        <v>293</v>
      </c>
      <c r="H7" s="9" t="s">
        <v>294</v>
      </c>
      <c r="I7" s="22">
        <v>800000</v>
      </c>
      <c r="J7" s="16">
        <v>1.4</v>
      </c>
      <c r="K7" s="10" t="str">
        <f>IFERROR(INDEX(ПОТ_Премии!$A$2:$A$500,MATCH(1,INDEX((ПОТ_Премии!$B$2:$B$500=C7)*(ПОТ_Премии!$D$2:$D$500=D7)*(ПОТ_Премии!$F$2:$F$500=E7)*(ПОТ_Премии!$H$2:$H$500=F7)*(ПОТ_Премии!$J$2:$J$500=G7)*(ПОТ_Премии!$L$2:$L$500=H7),0),0)),"ПОТ не найден")</f>
        <v>ПОТ-007</v>
      </c>
      <c r="L7" s="10" t="str">
        <f>IFERROR(INDEX(ПОТ_Премии!$Y$2:$Y$500,MATCH(K7,ПОТ_Премии!$A$2:$A$500,0)),"")</f>
        <v>SC-003</v>
      </c>
      <c r="M7" s="10">
        <f>IF(L7="","",SUMIFS(Шкалы_ступени!$C$2:$C$500,Шкалы_ступени!$B$2:$B$500,L7,Шкалы_ступени!$D$2:$D$500,"&lt;="&amp;J7,Шкалы_ступени!$E$2:$E$500,"&gt;"&amp;J7)+SUMIFS(Шкалы_ступени!$C$2:$C$500,Шкалы_ступени!$B$2:$B$500,L7,Шкалы_ступени!$D$2:$D$500,"&lt;="&amp;J7,Шкалы_ступени!$E$2:$E$500,"="))</f>
        <v>3</v>
      </c>
      <c r="N7" s="23">
        <f>IF(OR(L7="",M7=0),"",IF(INDEX(Шкалы_ступени!$G$2:$G$500,MATCH(1,INDEX((Шкалы_ступени!$B$2:$B$500=L7)*(Шкалы_ступени!$C$2:$C$500=M7),0),0))="KPI_SCALE",J7,INDEX(Шкалы_ступени!$H$2:$H$500,MATCH(1,INDEX((Шкалы_ступени!$B$2:$B$500=L7)*(Шкалы_ступени!$C$2:$C$500=M7),0),0))))</f>
        <v>1.2</v>
      </c>
      <c r="O7" s="24">
        <f t="shared" si="0"/>
        <v>960000</v>
      </c>
    </row>
    <row r="8" spans="1:15" x14ac:dyDescent="0.3">
      <c r="A8" s="9" t="s">
        <v>447</v>
      </c>
      <c r="B8" s="9" t="s">
        <v>448</v>
      </c>
      <c r="C8" s="9" t="s">
        <v>271</v>
      </c>
      <c r="D8" s="9" t="s">
        <v>301</v>
      </c>
      <c r="E8" s="9" t="s">
        <v>302</v>
      </c>
      <c r="F8" s="9" t="s">
        <v>299</v>
      </c>
      <c r="G8" s="9" t="s">
        <v>303</v>
      </c>
      <c r="H8" s="9" t="s">
        <v>304</v>
      </c>
      <c r="I8" s="22">
        <v>50000</v>
      </c>
      <c r="J8" s="16">
        <v>1</v>
      </c>
      <c r="K8" s="10" t="str">
        <f>IFERROR(INDEX(ПОТ_Премии!$A$2:$A$500,MATCH(1,INDEX((ПОТ_Премии!$B$2:$B$500=C8)*(ПОТ_Премии!$D$2:$D$500=D8)*(ПОТ_Премии!$F$2:$F$500=E8)*(ПОТ_Премии!$H$2:$H$500=F8)*(ПОТ_Премии!$J$2:$J$500=G8)*(ПОТ_Премии!$L$2:$L$500=H8),0),0)),"ПОТ не найден")</f>
        <v>ПОТ-008</v>
      </c>
      <c r="L8" s="10" t="str">
        <f>IFERROR(INDEX(ПОТ_Премии!$Y$2:$Y$500,MATCH(K8,ПОТ_Премии!$A$2:$A$500,0)),"")</f>
        <v>SC-004</v>
      </c>
      <c r="M8" s="10">
        <f>IF(L8="","",SUMIFS(Шкалы_ступени!$C$2:$C$500,Шкалы_ступени!$B$2:$B$500,L8,Шкалы_ступени!$D$2:$D$500,"&lt;="&amp;J8,Шкалы_ступени!$E$2:$E$500,"&gt;"&amp;J8)+SUMIFS(Шкалы_ступени!$C$2:$C$500,Шкалы_ступени!$B$2:$B$500,L8,Шкалы_ступени!$D$2:$D$500,"&lt;="&amp;J8,Шкалы_ступени!$E$2:$E$500,"="))</f>
        <v>2</v>
      </c>
      <c r="N8" s="23">
        <f>IF(OR(L8="",M8=0),"",IF(INDEX(Шкалы_ступени!$G$2:$G$500,MATCH(1,INDEX((Шкалы_ступени!$B$2:$B$500=L8)*(Шкалы_ступени!$C$2:$C$500=M8),0),0))="KPI_SCALE",J8,INDEX(Шкалы_ступени!$H$2:$H$500,MATCH(1,INDEX((Шкалы_ступени!$B$2:$B$500=L8)*(Шкалы_ступени!$C$2:$C$500=M8),0),0))))</f>
        <v>1</v>
      </c>
      <c r="O8" s="24">
        <f t="shared" si="0"/>
        <v>50000</v>
      </c>
    </row>
    <row r="9" spans="1:15" x14ac:dyDescent="0.3">
      <c r="A9" s="9" t="s">
        <v>447</v>
      </c>
      <c r="B9" s="9" t="s">
        <v>448</v>
      </c>
      <c r="C9" s="9" t="s">
        <v>271</v>
      </c>
      <c r="D9" s="9" t="s">
        <v>301</v>
      </c>
      <c r="E9" s="9" t="s">
        <v>302</v>
      </c>
      <c r="F9" s="9" t="s">
        <v>299</v>
      </c>
      <c r="G9" s="9" t="s">
        <v>303</v>
      </c>
      <c r="H9" s="9" t="s">
        <v>304</v>
      </c>
      <c r="I9" s="22">
        <v>50000</v>
      </c>
      <c r="J9" s="16">
        <v>1.2</v>
      </c>
      <c r="K9" s="10" t="str">
        <f>IFERROR(INDEX(ПОТ_Премии!$A$2:$A$500,MATCH(1,INDEX((ПОТ_Премии!$B$2:$B$500=C9)*(ПОТ_Премии!$D$2:$D$500=D9)*(ПОТ_Премии!$F$2:$F$500=E9)*(ПОТ_Премии!$H$2:$H$500=F9)*(ПОТ_Премии!$J$2:$J$500=G9)*(ПОТ_Премии!$L$2:$L$500=H9),0),0)),"ПОТ не найден")</f>
        <v>ПОТ-008</v>
      </c>
      <c r="L9" s="10" t="str">
        <f>IFERROR(INDEX(ПОТ_Премии!$Y$2:$Y$500,MATCH(K9,ПОТ_Премии!$A$2:$A$500,0)),"")</f>
        <v>SC-004</v>
      </c>
      <c r="M9" s="10">
        <f>IF(L9="","",SUMIFS(Шкалы_ступени!$C$2:$C$500,Шкалы_ступени!$B$2:$B$500,L9,Шкалы_ступени!$D$2:$D$500,"&lt;="&amp;J9,Шкалы_ступени!$E$2:$E$500,"&gt;"&amp;J9)+SUMIFS(Шкалы_ступени!$C$2:$C$500,Шкалы_ступени!$B$2:$B$500,L9,Шкалы_ступени!$D$2:$D$500,"&lt;="&amp;J9,Шкалы_ступени!$E$2:$E$500,"="))</f>
        <v>3</v>
      </c>
      <c r="N9" s="23">
        <f>IF(OR(L9="",M9=0),"",IF(INDEX(Шкалы_ступени!$G$2:$G$500,MATCH(1,INDEX((Шкалы_ступени!$B$2:$B$500=L9)*(Шкалы_ступени!$C$2:$C$500=M9),0),0))="KPI_SCALE",J9,INDEX(Шкалы_ступени!$H$2:$H$500,MATCH(1,INDEX((Шкалы_ступени!$B$2:$B$500=L9)*(Шкалы_ступени!$C$2:$C$500=M9),0),0))))</f>
        <v>1.2</v>
      </c>
      <c r="O9" s="24">
        <f t="shared" si="0"/>
        <v>60000</v>
      </c>
    </row>
    <row r="10" spans="1:15" x14ac:dyDescent="0.3">
      <c r="A10" s="9" t="s">
        <v>447</v>
      </c>
      <c r="B10" s="9" t="s">
        <v>449</v>
      </c>
      <c r="C10" s="9" t="s">
        <v>310</v>
      </c>
      <c r="D10" s="9" t="s">
        <v>301</v>
      </c>
      <c r="E10" s="9" t="s">
        <v>302</v>
      </c>
      <c r="F10" s="9" t="s">
        <v>299</v>
      </c>
      <c r="G10" s="9" t="s">
        <v>303</v>
      </c>
      <c r="H10" s="9" t="s">
        <v>304</v>
      </c>
      <c r="I10" s="22">
        <v>50000</v>
      </c>
      <c r="J10" s="16">
        <v>0.76</v>
      </c>
      <c r="K10" s="10" t="str">
        <f>IFERROR(INDEX(ПОТ_Премии!$A$2:$A$500,MATCH(1,INDEX((ПОТ_Премии!$B$2:$B$500=C10)*(ПОТ_Премии!$D$2:$D$500=D10)*(ПОТ_Премии!$F$2:$F$500=E10)*(ПОТ_Премии!$H$2:$H$500=F10)*(ПОТ_Премии!$J$2:$J$500=G10)*(ПОТ_Премии!$L$2:$L$500=H10),0),0)),"ПОТ не найден")</f>
        <v>ПОТ-009</v>
      </c>
      <c r="L10" s="10" t="str">
        <f>IFERROR(INDEX(ПОТ_Премии!$Y$2:$Y$500,MATCH(K10,ПОТ_Премии!$A$2:$A$500,0)),"")</f>
        <v>SC-004</v>
      </c>
      <c r="M10" s="10">
        <f>IF(L10="","",SUMIFS(Шкалы_ступени!$C$2:$C$500,Шкалы_ступени!$B$2:$B$500,L10,Шкалы_ступени!$D$2:$D$500,"&lt;="&amp;J10,Шкалы_ступени!$E$2:$E$500,"&gt;"&amp;J10)+SUMIFS(Шкалы_ступени!$C$2:$C$500,Шкалы_ступени!$B$2:$B$500,L10,Шкалы_ступени!$D$2:$D$500,"&lt;="&amp;J10,Шкалы_ступени!$E$2:$E$500,"="))</f>
        <v>1</v>
      </c>
      <c r="N10" s="23">
        <f>IF(OR(L10="",M10=0),"",IF(INDEX(Шкалы_ступени!$G$2:$G$500,MATCH(1,INDEX((Шкалы_ступени!$B$2:$B$500=L10)*(Шкалы_ступени!$C$2:$C$500=M10),0),0))="KPI_SCALE",J10,INDEX(Шкалы_ступени!$H$2:$H$500,MATCH(1,INDEX((Шкалы_ступени!$B$2:$B$500=L10)*(Шкалы_ступени!$C$2:$C$500=M10),0),0))))</f>
        <v>0.5</v>
      </c>
      <c r="O10" s="24">
        <f t="shared" si="0"/>
        <v>25000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ПОТ_Премии</vt:lpstr>
      <vt:lpstr>Описание_полей</vt:lpstr>
      <vt:lpstr>Справочники</vt:lpstr>
      <vt:lpstr>Шкалы</vt:lpstr>
      <vt:lpstr>Шкалы_ступени</vt:lpstr>
      <vt:lpstr>Проверки</vt:lpstr>
      <vt:lpstr>Пример_расчёта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Tenyakov</cp:lastModifiedBy>
  <dcterms:created xsi:type="dcterms:W3CDTF">2026-10-11T20:36:32Z</dcterms:created>
  <dcterms:modified xsi:type="dcterms:W3CDTF">2026-10-11T21:04:13Z</dcterms:modified>
</cp:coreProperties>
</file>