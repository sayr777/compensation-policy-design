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MY_GIT\interview\задание\"/>
    </mc:Choice>
  </mc:AlternateContent>
  <xr:revisionPtr revIDLastSave="0" documentId="13_ncr:1_{20773303-A1F7-411D-AE59-4AD5D7BDE0DC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ПОТ" sheetId="1" r:id="rId1"/>
    <sheet name="Справ_ВидыПремий" sheetId="2" r:id="rId2"/>
    <sheet name="BT-001_Премия_КолвоАМ" sheetId="3" r:id="rId3"/>
    <sheet name="BT-002_Премия_КумМаржа" sheetId="4" r:id="rId4"/>
    <sheet name="BT-003_Премия_МаржаСервис" sheetId="5" r:id="rId5"/>
    <sheet name="BT-004_Премия_КВФин" sheetId="6" r:id="rId6"/>
    <sheet name="Справ_Сотрудников" sheetId="7" r:id="rId7"/>
    <sheet name="Периоды" sheetId="8" r:id="rId8"/>
    <sheet name="ETL" sheetId="9" r:id="rId9"/>
  </sheets>
  <definedNames>
    <definedName name="_xlnm._FilterDatabase" localSheetId="8" hidden="1">ETL!$A$1:$Z$50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" i="9" l="1"/>
  <c r="P50" i="9"/>
  <c r="L50" i="9"/>
  <c r="K50" i="9"/>
  <c r="E50" i="9"/>
  <c r="B50" i="9"/>
  <c r="A50" i="9"/>
  <c r="S49" i="9"/>
  <c r="P49" i="9"/>
  <c r="L49" i="9"/>
  <c r="K49" i="9"/>
  <c r="E49" i="9"/>
  <c r="B49" i="9"/>
  <c r="A49" i="9"/>
  <c r="S48" i="9"/>
  <c r="P48" i="9"/>
  <c r="L48" i="9"/>
  <c r="K48" i="9"/>
  <c r="E48" i="9"/>
  <c r="B48" i="9"/>
  <c r="A48" i="9"/>
  <c r="S47" i="9"/>
  <c r="P47" i="9"/>
  <c r="L47" i="9"/>
  <c r="K47" i="9"/>
  <c r="E47" i="9"/>
  <c r="B47" i="9"/>
  <c r="A47" i="9"/>
  <c r="S46" i="9"/>
  <c r="P46" i="9"/>
  <c r="L46" i="9"/>
  <c r="K46" i="9"/>
  <c r="E46" i="9"/>
  <c r="B46" i="9"/>
  <c r="A46" i="9"/>
  <c r="S45" i="9"/>
  <c r="P45" i="9"/>
  <c r="L45" i="9"/>
  <c r="K45" i="9"/>
  <c r="E45" i="9"/>
  <c r="B45" i="9"/>
  <c r="A45" i="9"/>
  <c r="S44" i="9"/>
  <c r="P44" i="9"/>
  <c r="L44" i="9"/>
  <c r="K44" i="9"/>
  <c r="E44" i="9"/>
  <c r="B44" i="9"/>
  <c r="A44" i="9"/>
  <c r="S43" i="9"/>
  <c r="P43" i="9"/>
  <c r="L43" i="9"/>
  <c r="K43" i="9"/>
  <c r="E43" i="9"/>
  <c r="B43" i="9"/>
  <c r="A43" i="9"/>
  <c r="S42" i="9"/>
  <c r="P42" i="9"/>
  <c r="L42" i="9"/>
  <c r="K42" i="9"/>
  <c r="E42" i="9"/>
  <c r="B42" i="9"/>
  <c r="A42" i="9"/>
  <c r="S41" i="9"/>
  <c r="P41" i="9"/>
  <c r="L41" i="9"/>
  <c r="K41" i="9"/>
  <c r="E41" i="9"/>
  <c r="B41" i="9"/>
  <c r="A41" i="9"/>
  <c r="S40" i="9"/>
  <c r="P40" i="9"/>
  <c r="L40" i="9"/>
  <c r="K40" i="9"/>
  <c r="E40" i="9"/>
  <c r="B40" i="9"/>
  <c r="A40" i="9"/>
  <c r="S39" i="9"/>
  <c r="P39" i="9"/>
  <c r="L39" i="9"/>
  <c r="K39" i="9"/>
  <c r="E39" i="9"/>
  <c r="B39" i="9"/>
  <c r="A39" i="9"/>
  <c r="S38" i="9"/>
  <c r="P38" i="9"/>
  <c r="L38" i="9"/>
  <c r="K38" i="9"/>
  <c r="E38" i="9"/>
  <c r="B38" i="9"/>
  <c r="A38" i="9"/>
  <c r="S37" i="9"/>
  <c r="P37" i="9"/>
  <c r="L37" i="9"/>
  <c r="K37" i="9"/>
  <c r="E37" i="9"/>
  <c r="B37" i="9"/>
  <c r="A37" i="9"/>
  <c r="S36" i="9"/>
  <c r="P36" i="9"/>
  <c r="L36" i="9"/>
  <c r="K36" i="9"/>
  <c r="E36" i="9"/>
  <c r="B36" i="9"/>
  <c r="A36" i="9"/>
  <c r="S35" i="9"/>
  <c r="P35" i="9"/>
  <c r="L35" i="9"/>
  <c r="K35" i="9"/>
  <c r="E35" i="9"/>
  <c r="B35" i="9"/>
  <c r="A35" i="9"/>
  <c r="S34" i="9"/>
  <c r="P34" i="9"/>
  <c r="L34" i="9"/>
  <c r="K34" i="9"/>
  <c r="E34" i="9"/>
  <c r="B34" i="9"/>
  <c r="A34" i="9"/>
  <c r="S33" i="9"/>
  <c r="P33" i="9"/>
  <c r="L33" i="9"/>
  <c r="K33" i="9"/>
  <c r="E33" i="9"/>
  <c r="B33" i="9"/>
  <c r="A33" i="9"/>
  <c r="S32" i="9"/>
  <c r="P32" i="9"/>
  <c r="L32" i="9"/>
  <c r="K32" i="9"/>
  <c r="J32" i="9"/>
  <c r="I32" i="9"/>
  <c r="H32" i="9"/>
  <c r="G32" i="9"/>
  <c r="F32" i="9"/>
  <c r="E32" i="9"/>
  <c r="D32" i="9"/>
  <c r="C32" i="9"/>
  <c r="B32" i="9"/>
  <c r="A32" i="9"/>
  <c r="Z31" i="9"/>
  <c r="X31" i="9"/>
  <c r="W31" i="9"/>
  <c r="V31" i="9"/>
  <c r="U31" i="9"/>
  <c r="T31" i="9"/>
  <c r="S31" i="9"/>
  <c r="P31" i="9"/>
  <c r="L31" i="9"/>
  <c r="K31" i="9"/>
  <c r="E31" i="9"/>
  <c r="B31" i="9"/>
  <c r="A31" i="9"/>
  <c r="S30" i="9"/>
  <c r="P30" i="9"/>
  <c r="L30" i="9"/>
  <c r="K30" i="9"/>
  <c r="E30" i="9"/>
  <c r="B30" i="9"/>
  <c r="A30" i="9"/>
  <c r="S29" i="9"/>
  <c r="P29" i="9"/>
  <c r="L29" i="9"/>
  <c r="K29" i="9"/>
  <c r="E29" i="9"/>
  <c r="B29" i="9"/>
  <c r="A29" i="9"/>
  <c r="S28" i="9"/>
  <c r="P28" i="9"/>
  <c r="L28" i="9"/>
  <c r="K28" i="9"/>
  <c r="E28" i="9"/>
  <c r="B28" i="9"/>
  <c r="A28" i="9"/>
  <c r="S27" i="9"/>
  <c r="P27" i="9"/>
  <c r="L27" i="9"/>
  <c r="K27" i="9"/>
  <c r="E27" i="9"/>
  <c r="B27" i="9"/>
  <c r="A27" i="9"/>
  <c r="S26" i="9"/>
  <c r="P26" i="9"/>
  <c r="L26" i="9"/>
  <c r="K26" i="9"/>
  <c r="E26" i="9"/>
  <c r="B26" i="9"/>
  <c r="A26" i="9"/>
  <c r="S25" i="9"/>
  <c r="P25" i="9"/>
  <c r="L25" i="9"/>
  <c r="K25" i="9"/>
  <c r="E25" i="9"/>
  <c r="B25" i="9"/>
  <c r="A25" i="9"/>
  <c r="S24" i="9"/>
  <c r="P24" i="9"/>
  <c r="L24" i="9"/>
  <c r="K24" i="9"/>
  <c r="E24" i="9"/>
  <c r="B24" i="9"/>
  <c r="A24" i="9"/>
  <c r="S23" i="9"/>
  <c r="P23" i="9"/>
  <c r="L23" i="9"/>
  <c r="K23" i="9"/>
  <c r="E23" i="9"/>
  <c r="B23" i="9"/>
  <c r="A23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S21" i="9"/>
  <c r="P21" i="9"/>
  <c r="L21" i="9"/>
  <c r="K21" i="9"/>
  <c r="E21" i="9"/>
  <c r="B21" i="9"/>
  <c r="A21" i="9"/>
  <c r="S20" i="9"/>
  <c r="P20" i="9"/>
  <c r="L20" i="9"/>
  <c r="K20" i="9"/>
  <c r="E20" i="9"/>
  <c r="B20" i="9"/>
  <c r="A20" i="9"/>
  <c r="S19" i="9"/>
  <c r="P19" i="9"/>
  <c r="L19" i="9"/>
  <c r="K19" i="9"/>
  <c r="E19" i="9"/>
  <c r="B19" i="9"/>
  <c r="A19" i="9"/>
  <c r="S18" i="9"/>
  <c r="P18" i="9"/>
  <c r="L18" i="9"/>
  <c r="K18" i="9"/>
  <c r="E18" i="9"/>
  <c r="B18" i="9"/>
  <c r="A18" i="9"/>
  <c r="S17" i="9"/>
  <c r="P17" i="9"/>
  <c r="L17" i="9"/>
  <c r="K17" i="9"/>
  <c r="E17" i="9"/>
  <c r="B17" i="9"/>
  <c r="A17" i="9"/>
  <c r="S16" i="9"/>
  <c r="P16" i="9"/>
  <c r="L16" i="9"/>
  <c r="K16" i="9"/>
  <c r="E16" i="9"/>
  <c r="B16" i="9"/>
  <c r="A16" i="9"/>
  <c r="S15" i="9"/>
  <c r="P15" i="9"/>
  <c r="L15" i="9"/>
  <c r="K15" i="9"/>
  <c r="E15" i="9"/>
  <c r="B15" i="9"/>
  <c r="A15" i="9"/>
  <c r="S14" i="9"/>
  <c r="P14" i="9"/>
  <c r="L14" i="9"/>
  <c r="K14" i="9"/>
  <c r="E14" i="9"/>
  <c r="B14" i="9"/>
  <c r="A14" i="9"/>
  <c r="S13" i="9"/>
  <c r="P13" i="9"/>
  <c r="L13" i="9"/>
  <c r="K13" i="9"/>
  <c r="E13" i="9"/>
  <c r="B13" i="9"/>
  <c r="A13" i="9"/>
  <c r="S12" i="9"/>
  <c r="P12" i="9"/>
  <c r="L12" i="9"/>
  <c r="K12" i="9"/>
  <c r="E12" i="9"/>
  <c r="B12" i="9"/>
  <c r="A12" i="9"/>
  <c r="S11" i="9"/>
  <c r="P11" i="9"/>
  <c r="L11" i="9"/>
  <c r="K11" i="9"/>
  <c r="E11" i="9"/>
  <c r="B11" i="9"/>
  <c r="A11" i="9"/>
  <c r="S10" i="9"/>
  <c r="P10" i="9"/>
  <c r="L10" i="9"/>
  <c r="K10" i="9"/>
  <c r="E10" i="9"/>
  <c r="B10" i="9"/>
  <c r="A10" i="9"/>
  <c r="S9" i="9"/>
  <c r="P9" i="9"/>
  <c r="L9" i="9"/>
  <c r="K9" i="9"/>
  <c r="E9" i="9"/>
  <c r="B9" i="9"/>
  <c r="A9" i="9"/>
  <c r="S8" i="9"/>
  <c r="P8" i="9"/>
  <c r="L8" i="9"/>
  <c r="K8" i="9"/>
  <c r="E8" i="9"/>
  <c r="B8" i="9"/>
  <c r="A8" i="9"/>
  <c r="S7" i="9"/>
  <c r="P7" i="9"/>
  <c r="L7" i="9"/>
  <c r="K7" i="9"/>
  <c r="E7" i="9"/>
  <c r="B7" i="9"/>
  <c r="A7" i="9"/>
  <c r="S6" i="9"/>
  <c r="P6" i="9"/>
  <c r="L6" i="9"/>
  <c r="K6" i="9"/>
  <c r="E6" i="9"/>
  <c r="B6" i="9"/>
  <c r="A6" i="9"/>
  <c r="S5" i="9"/>
  <c r="P5" i="9"/>
  <c r="L5" i="9"/>
  <c r="K5" i="9"/>
  <c r="E5" i="9"/>
  <c r="B5" i="9"/>
  <c r="A5" i="9"/>
  <c r="S4" i="9"/>
  <c r="P4" i="9"/>
  <c r="L4" i="9"/>
  <c r="K4" i="9"/>
  <c r="E4" i="9"/>
  <c r="B4" i="9"/>
  <c r="A4" i="9"/>
  <c r="S3" i="9"/>
  <c r="P3" i="9"/>
  <c r="L3" i="9"/>
  <c r="K3" i="9"/>
  <c r="E3" i="9"/>
  <c r="B3" i="9"/>
  <c r="A3" i="9"/>
  <c r="S2" i="9"/>
  <c r="P2" i="9"/>
  <c r="L2" i="9"/>
  <c r="K2" i="9"/>
  <c r="E2" i="9"/>
  <c r="B2" i="9"/>
  <c r="A2" i="9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R50" i="1"/>
  <c r="Q50" i="1"/>
  <c r="Y50" i="9" s="1"/>
  <c r="P50" i="1"/>
  <c r="C50" i="9" s="1"/>
  <c r="N50" i="1"/>
  <c r="R50" i="9" s="1"/>
  <c r="M50" i="1"/>
  <c r="Q50" i="9" s="1"/>
  <c r="K50" i="1"/>
  <c r="O50" i="9" s="1"/>
  <c r="J50" i="1"/>
  <c r="N50" i="9" s="1"/>
  <c r="H50" i="1"/>
  <c r="J50" i="9" s="1"/>
  <c r="G50" i="1"/>
  <c r="I50" i="9" s="1"/>
  <c r="F50" i="1"/>
  <c r="H50" i="9" s="1"/>
  <c r="E50" i="1"/>
  <c r="G50" i="9" s="1"/>
  <c r="D50" i="1"/>
  <c r="F50" i="9" s="1"/>
  <c r="C50" i="1"/>
  <c r="D50" i="9" s="1"/>
  <c r="R49" i="1"/>
  <c r="Q49" i="1"/>
  <c r="Y49" i="9" s="1"/>
  <c r="P49" i="1"/>
  <c r="C49" i="9" s="1"/>
  <c r="N49" i="1"/>
  <c r="R49" i="9" s="1"/>
  <c r="M49" i="1"/>
  <c r="Q49" i="9" s="1"/>
  <c r="K49" i="1"/>
  <c r="O49" i="9" s="1"/>
  <c r="J49" i="1"/>
  <c r="N49" i="9" s="1"/>
  <c r="H49" i="1"/>
  <c r="J49" i="9" s="1"/>
  <c r="G49" i="1"/>
  <c r="I49" i="9" s="1"/>
  <c r="F49" i="1"/>
  <c r="H49" i="9" s="1"/>
  <c r="E49" i="1"/>
  <c r="G49" i="9" s="1"/>
  <c r="D49" i="1"/>
  <c r="F49" i="9" s="1"/>
  <c r="C49" i="1"/>
  <c r="D49" i="9" s="1"/>
  <c r="R48" i="1"/>
  <c r="Q48" i="1"/>
  <c r="Y48" i="9" s="1"/>
  <c r="P48" i="1"/>
  <c r="C48" i="9" s="1"/>
  <c r="N48" i="1"/>
  <c r="R48" i="9" s="1"/>
  <c r="M48" i="1"/>
  <c r="Q48" i="9" s="1"/>
  <c r="K48" i="1"/>
  <c r="O48" i="9" s="1"/>
  <c r="J48" i="1"/>
  <c r="N48" i="9" s="1"/>
  <c r="H48" i="1"/>
  <c r="J48" i="9" s="1"/>
  <c r="G48" i="1"/>
  <c r="I48" i="9" s="1"/>
  <c r="F48" i="1"/>
  <c r="H48" i="9" s="1"/>
  <c r="E48" i="1"/>
  <c r="G48" i="9" s="1"/>
  <c r="D48" i="1"/>
  <c r="F48" i="9" s="1"/>
  <c r="C48" i="1"/>
  <c r="D48" i="9" s="1"/>
  <c r="R47" i="1"/>
  <c r="Q47" i="1"/>
  <c r="Y47" i="9" s="1"/>
  <c r="P47" i="1"/>
  <c r="C47" i="9" s="1"/>
  <c r="N47" i="1"/>
  <c r="R47" i="9" s="1"/>
  <c r="M47" i="1"/>
  <c r="Q47" i="9" s="1"/>
  <c r="K47" i="1"/>
  <c r="O47" i="9" s="1"/>
  <c r="J47" i="1"/>
  <c r="N47" i="9" s="1"/>
  <c r="H47" i="1"/>
  <c r="J47" i="9" s="1"/>
  <c r="G47" i="1"/>
  <c r="I47" i="9" s="1"/>
  <c r="F47" i="1"/>
  <c r="H47" i="9" s="1"/>
  <c r="E47" i="1"/>
  <c r="G47" i="9" s="1"/>
  <c r="D47" i="1"/>
  <c r="F47" i="9" s="1"/>
  <c r="C47" i="1"/>
  <c r="D47" i="9" s="1"/>
  <c r="R46" i="1"/>
  <c r="Q46" i="1"/>
  <c r="Y46" i="9" s="1"/>
  <c r="P46" i="1"/>
  <c r="C46" i="9" s="1"/>
  <c r="N46" i="1"/>
  <c r="R46" i="9" s="1"/>
  <c r="M46" i="1"/>
  <c r="Q46" i="9" s="1"/>
  <c r="K46" i="1"/>
  <c r="O46" i="9" s="1"/>
  <c r="J46" i="1"/>
  <c r="N46" i="9" s="1"/>
  <c r="H46" i="1"/>
  <c r="J46" i="9" s="1"/>
  <c r="G46" i="1"/>
  <c r="I46" i="9" s="1"/>
  <c r="F46" i="1"/>
  <c r="H46" i="9" s="1"/>
  <c r="E46" i="1"/>
  <c r="G46" i="9" s="1"/>
  <c r="D46" i="1"/>
  <c r="F46" i="9" s="1"/>
  <c r="C46" i="1"/>
  <c r="D46" i="9" s="1"/>
  <c r="R45" i="1"/>
  <c r="Q45" i="1"/>
  <c r="Y45" i="9" s="1"/>
  <c r="P45" i="1"/>
  <c r="C45" i="9" s="1"/>
  <c r="N45" i="1"/>
  <c r="R45" i="9" s="1"/>
  <c r="M45" i="1"/>
  <c r="Q45" i="9" s="1"/>
  <c r="K45" i="1"/>
  <c r="O45" i="9" s="1"/>
  <c r="J45" i="1"/>
  <c r="N45" i="9" s="1"/>
  <c r="H45" i="1"/>
  <c r="J45" i="9" s="1"/>
  <c r="G45" i="1"/>
  <c r="I45" i="9" s="1"/>
  <c r="F45" i="1"/>
  <c r="H45" i="9" s="1"/>
  <c r="E45" i="1"/>
  <c r="G45" i="9" s="1"/>
  <c r="D45" i="1"/>
  <c r="F45" i="9" s="1"/>
  <c r="C45" i="1"/>
  <c r="D45" i="9" s="1"/>
  <c r="R44" i="1"/>
  <c r="Q44" i="1"/>
  <c r="Y44" i="9" s="1"/>
  <c r="P44" i="1"/>
  <c r="C44" i="9" s="1"/>
  <c r="N44" i="1"/>
  <c r="R44" i="9" s="1"/>
  <c r="M44" i="1"/>
  <c r="Q44" i="9" s="1"/>
  <c r="K44" i="1"/>
  <c r="O44" i="9" s="1"/>
  <c r="J44" i="1"/>
  <c r="N44" i="9" s="1"/>
  <c r="H44" i="1"/>
  <c r="J44" i="9" s="1"/>
  <c r="G44" i="1"/>
  <c r="I44" i="9" s="1"/>
  <c r="F44" i="1"/>
  <c r="H44" i="9" s="1"/>
  <c r="E44" i="1"/>
  <c r="G44" i="9" s="1"/>
  <c r="D44" i="1"/>
  <c r="F44" i="9" s="1"/>
  <c r="C44" i="1"/>
  <c r="D44" i="9" s="1"/>
  <c r="R43" i="1"/>
  <c r="Q43" i="1"/>
  <c r="Y43" i="9" s="1"/>
  <c r="P43" i="1"/>
  <c r="C43" i="9" s="1"/>
  <c r="N43" i="1"/>
  <c r="R43" i="9" s="1"/>
  <c r="M43" i="1"/>
  <c r="Q43" i="9" s="1"/>
  <c r="K43" i="1"/>
  <c r="O43" i="9" s="1"/>
  <c r="J43" i="1"/>
  <c r="N43" i="9" s="1"/>
  <c r="H43" i="1"/>
  <c r="J43" i="9" s="1"/>
  <c r="G43" i="1"/>
  <c r="I43" i="9" s="1"/>
  <c r="F43" i="1"/>
  <c r="H43" i="9" s="1"/>
  <c r="E43" i="1"/>
  <c r="G43" i="9" s="1"/>
  <c r="D43" i="1"/>
  <c r="F43" i="9" s="1"/>
  <c r="C43" i="1"/>
  <c r="D43" i="9" s="1"/>
  <c r="R42" i="1"/>
  <c r="Q42" i="1"/>
  <c r="Y42" i="9" s="1"/>
  <c r="P42" i="1"/>
  <c r="C42" i="9" s="1"/>
  <c r="N42" i="1"/>
  <c r="R42" i="9" s="1"/>
  <c r="M42" i="1"/>
  <c r="Q42" i="9" s="1"/>
  <c r="K42" i="1"/>
  <c r="O42" i="9" s="1"/>
  <c r="J42" i="1"/>
  <c r="N42" i="9" s="1"/>
  <c r="H42" i="1"/>
  <c r="J42" i="9" s="1"/>
  <c r="G42" i="1"/>
  <c r="I42" i="9" s="1"/>
  <c r="F42" i="1"/>
  <c r="H42" i="9" s="1"/>
  <c r="E42" i="1"/>
  <c r="G42" i="9" s="1"/>
  <c r="D42" i="1"/>
  <c r="F42" i="9" s="1"/>
  <c r="C42" i="1"/>
  <c r="D42" i="9" s="1"/>
  <c r="R41" i="1"/>
  <c r="Q41" i="1"/>
  <c r="Y41" i="9" s="1"/>
  <c r="P41" i="1"/>
  <c r="C41" i="9" s="1"/>
  <c r="N41" i="1"/>
  <c r="R41" i="9" s="1"/>
  <c r="M41" i="1"/>
  <c r="Q41" i="9" s="1"/>
  <c r="K41" i="1"/>
  <c r="O41" i="9" s="1"/>
  <c r="J41" i="1"/>
  <c r="N41" i="9" s="1"/>
  <c r="H41" i="1"/>
  <c r="J41" i="9" s="1"/>
  <c r="G41" i="1"/>
  <c r="I41" i="9" s="1"/>
  <c r="F41" i="1"/>
  <c r="H41" i="9" s="1"/>
  <c r="E41" i="1"/>
  <c r="G41" i="9" s="1"/>
  <c r="D41" i="1"/>
  <c r="F41" i="9" s="1"/>
  <c r="C41" i="1"/>
  <c r="D41" i="9" s="1"/>
  <c r="R40" i="1"/>
  <c r="Q40" i="1"/>
  <c r="Y40" i="9" s="1"/>
  <c r="P40" i="1"/>
  <c r="C40" i="9" s="1"/>
  <c r="N40" i="1"/>
  <c r="R40" i="9" s="1"/>
  <c r="M40" i="1"/>
  <c r="Q40" i="9" s="1"/>
  <c r="K40" i="1"/>
  <c r="O40" i="9" s="1"/>
  <c r="J40" i="1"/>
  <c r="N40" i="9" s="1"/>
  <c r="H40" i="1"/>
  <c r="J40" i="9" s="1"/>
  <c r="G40" i="1"/>
  <c r="I40" i="9" s="1"/>
  <c r="F40" i="1"/>
  <c r="H40" i="9" s="1"/>
  <c r="E40" i="1"/>
  <c r="G40" i="9" s="1"/>
  <c r="D40" i="1"/>
  <c r="F40" i="9" s="1"/>
  <c r="C40" i="1"/>
  <c r="D40" i="9" s="1"/>
  <c r="R39" i="1"/>
  <c r="Q39" i="1"/>
  <c r="Y39" i="9" s="1"/>
  <c r="P39" i="1"/>
  <c r="C39" i="9" s="1"/>
  <c r="N39" i="1"/>
  <c r="R39" i="9" s="1"/>
  <c r="M39" i="1"/>
  <c r="Q39" i="9" s="1"/>
  <c r="K39" i="1"/>
  <c r="O39" i="9" s="1"/>
  <c r="J39" i="1"/>
  <c r="N39" i="9" s="1"/>
  <c r="H39" i="1"/>
  <c r="J39" i="9" s="1"/>
  <c r="G39" i="1"/>
  <c r="I39" i="9" s="1"/>
  <c r="F39" i="1"/>
  <c r="H39" i="9" s="1"/>
  <c r="E39" i="1"/>
  <c r="G39" i="9" s="1"/>
  <c r="D39" i="1"/>
  <c r="F39" i="9" s="1"/>
  <c r="C39" i="1"/>
  <c r="D39" i="9" s="1"/>
  <c r="R38" i="1"/>
  <c r="Q38" i="1"/>
  <c r="Y38" i="9" s="1"/>
  <c r="P38" i="1"/>
  <c r="C38" i="9" s="1"/>
  <c r="N38" i="1"/>
  <c r="R38" i="9" s="1"/>
  <c r="M38" i="1"/>
  <c r="Q38" i="9" s="1"/>
  <c r="K38" i="1"/>
  <c r="O38" i="9" s="1"/>
  <c r="J38" i="1"/>
  <c r="N38" i="9" s="1"/>
  <c r="H38" i="1"/>
  <c r="J38" i="9" s="1"/>
  <c r="G38" i="1"/>
  <c r="I38" i="9" s="1"/>
  <c r="F38" i="1"/>
  <c r="H38" i="9" s="1"/>
  <c r="E38" i="1"/>
  <c r="G38" i="9" s="1"/>
  <c r="D38" i="1"/>
  <c r="F38" i="9" s="1"/>
  <c r="C38" i="1"/>
  <c r="D38" i="9" s="1"/>
  <c r="R37" i="1"/>
  <c r="Q37" i="1"/>
  <c r="Y37" i="9" s="1"/>
  <c r="P37" i="1"/>
  <c r="C37" i="9" s="1"/>
  <c r="N37" i="1"/>
  <c r="R37" i="9" s="1"/>
  <c r="M37" i="1"/>
  <c r="Q37" i="9" s="1"/>
  <c r="K37" i="1"/>
  <c r="O37" i="9" s="1"/>
  <c r="J37" i="1"/>
  <c r="N37" i="9" s="1"/>
  <c r="H37" i="1"/>
  <c r="J37" i="9" s="1"/>
  <c r="G37" i="1"/>
  <c r="I37" i="9" s="1"/>
  <c r="F37" i="1"/>
  <c r="H37" i="9" s="1"/>
  <c r="E37" i="1"/>
  <c r="G37" i="9" s="1"/>
  <c r="D37" i="1"/>
  <c r="F37" i="9" s="1"/>
  <c r="C37" i="1"/>
  <c r="D37" i="9" s="1"/>
  <c r="R36" i="1"/>
  <c r="Q36" i="1"/>
  <c r="Y36" i="9" s="1"/>
  <c r="P36" i="1"/>
  <c r="C36" i="9" s="1"/>
  <c r="N36" i="1"/>
  <c r="R36" i="9" s="1"/>
  <c r="M36" i="1"/>
  <c r="Q36" i="9" s="1"/>
  <c r="K36" i="1"/>
  <c r="O36" i="9" s="1"/>
  <c r="J36" i="1"/>
  <c r="N36" i="9" s="1"/>
  <c r="H36" i="1"/>
  <c r="J36" i="9" s="1"/>
  <c r="G36" i="1"/>
  <c r="I36" i="9" s="1"/>
  <c r="F36" i="1"/>
  <c r="H36" i="9" s="1"/>
  <c r="E36" i="1"/>
  <c r="G36" i="9" s="1"/>
  <c r="D36" i="1"/>
  <c r="F36" i="9" s="1"/>
  <c r="C36" i="1"/>
  <c r="D36" i="9" s="1"/>
  <c r="R35" i="1"/>
  <c r="Q35" i="1"/>
  <c r="Y35" i="9" s="1"/>
  <c r="P35" i="1"/>
  <c r="C35" i="9" s="1"/>
  <c r="N35" i="1"/>
  <c r="R35" i="9" s="1"/>
  <c r="M35" i="1"/>
  <c r="Q35" i="9" s="1"/>
  <c r="K35" i="1"/>
  <c r="O35" i="9" s="1"/>
  <c r="J35" i="1"/>
  <c r="N35" i="9" s="1"/>
  <c r="H35" i="1"/>
  <c r="J35" i="9" s="1"/>
  <c r="G35" i="1"/>
  <c r="I35" i="9" s="1"/>
  <c r="F35" i="1"/>
  <c r="H35" i="9" s="1"/>
  <c r="E35" i="1"/>
  <c r="G35" i="9" s="1"/>
  <c r="D35" i="1"/>
  <c r="F35" i="9" s="1"/>
  <c r="C35" i="1"/>
  <c r="D35" i="9" s="1"/>
  <c r="R34" i="1"/>
  <c r="Q34" i="1"/>
  <c r="Y34" i="9" s="1"/>
  <c r="P34" i="1"/>
  <c r="C34" i="9" s="1"/>
  <c r="N34" i="1"/>
  <c r="R34" i="9" s="1"/>
  <c r="M34" i="1"/>
  <c r="Q34" i="9" s="1"/>
  <c r="K34" i="1"/>
  <c r="O34" i="9" s="1"/>
  <c r="J34" i="1"/>
  <c r="N34" i="9" s="1"/>
  <c r="H34" i="1"/>
  <c r="J34" i="9" s="1"/>
  <c r="G34" i="1"/>
  <c r="I34" i="9" s="1"/>
  <c r="F34" i="1"/>
  <c r="H34" i="9" s="1"/>
  <c r="E34" i="1"/>
  <c r="G34" i="9" s="1"/>
  <c r="D34" i="1"/>
  <c r="F34" i="9" s="1"/>
  <c r="C34" i="1"/>
  <c r="D34" i="9" s="1"/>
  <c r="R33" i="1"/>
  <c r="Q33" i="1"/>
  <c r="Y33" i="9" s="1"/>
  <c r="P33" i="1"/>
  <c r="C33" i="9" s="1"/>
  <c r="N33" i="1"/>
  <c r="R33" i="9" s="1"/>
  <c r="M33" i="1"/>
  <c r="Q33" i="9" s="1"/>
  <c r="K33" i="1"/>
  <c r="O33" i="9" s="1"/>
  <c r="J33" i="1"/>
  <c r="N33" i="9" s="1"/>
  <c r="H33" i="1"/>
  <c r="J33" i="9" s="1"/>
  <c r="G33" i="1"/>
  <c r="I33" i="9" s="1"/>
  <c r="F33" i="1"/>
  <c r="H33" i="9" s="1"/>
  <c r="E33" i="1"/>
  <c r="G33" i="9" s="1"/>
  <c r="D33" i="1"/>
  <c r="F33" i="9" s="1"/>
  <c r="C33" i="1"/>
  <c r="D33" i="9" s="1"/>
  <c r="R32" i="1"/>
  <c r="Q32" i="1"/>
  <c r="Y32" i="9" s="1"/>
  <c r="P32" i="1"/>
  <c r="N32" i="1"/>
  <c r="R32" i="9" s="1"/>
  <c r="M32" i="1"/>
  <c r="Q32" i="9" s="1"/>
  <c r="K32" i="1"/>
  <c r="O32" i="9" s="1"/>
  <c r="J32" i="1"/>
  <c r="N32" i="9" s="1"/>
  <c r="H32" i="1"/>
  <c r="G32" i="1"/>
  <c r="F32" i="1"/>
  <c r="E32" i="1"/>
  <c r="D32" i="1"/>
  <c r="C32" i="1"/>
  <c r="R31" i="1"/>
  <c r="M31" i="9" s="1"/>
  <c r="Q31" i="1"/>
  <c r="Y31" i="9" s="1"/>
  <c r="P31" i="1"/>
  <c r="C31" i="9" s="1"/>
  <c r="N31" i="1"/>
  <c r="R31" i="9" s="1"/>
  <c r="M31" i="1"/>
  <c r="Q31" i="9" s="1"/>
  <c r="K31" i="1"/>
  <c r="O31" i="9" s="1"/>
  <c r="J31" i="1"/>
  <c r="N31" i="9" s="1"/>
  <c r="H31" i="1"/>
  <c r="J31" i="9" s="1"/>
  <c r="G31" i="1"/>
  <c r="I31" i="9" s="1"/>
  <c r="F31" i="1"/>
  <c r="H31" i="9" s="1"/>
  <c r="E31" i="1"/>
  <c r="G31" i="9" s="1"/>
  <c r="D31" i="1"/>
  <c r="F31" i="9" s="1"/>
  <c r="C31" i="1"/>
  <c r="D31" i="9" s="1"/>
  <c r="R30" i="1"/>
  <c r="Q30" i="1"/>
  <c r="Y30" i="9" s="1"/>
  <c r="P30" i="1"/>
  <c r="C30" i="9" s="1"/>
  <c r="N30" i="1"/>
  <c r="R30" i="9" s="1"/>
  <c r="M30" i="1"/>
  <c r="Q30" i="9" s="1"/>
  <c r="K30" i="1"/>
  <c r="O30" i="9" s="1"/>
  <c r="J30" i="1"/>
  <c r="N30" i="9" s="1"/>
  <c r="H30" i="1"/>
  <c r="J30" i="9" s="1"/>
  <c r="G30" i="1"/>
  <c r="I30" i="9" s="1"/>
  <c r="F30" i="1"/>
  <c r="H30" i="9" s="1"/>
  <c r="E30" i="1"/>
  <c r="G30" i="9" s="1"/>
  <c r="D30" i="1"/>
  <c r="F30" i="9" s="1"/>
  <c r="C30" i="1"/>
  <c r="D30" i="9" s="1"/>
  <c r="R29" i="1"/>
  <c r="Q29" i="1"/>
  <c r="Y29" i="9" s="1"/>
  <c r="P29" i="1"/>
  <c r="C29" i="9" s="1"/>
  <c r="N29" i="1"/>
  <c r="R29" i="9" s="1"/>
  <c r="M29" i="1"/>
  <c r="Q29" i="9" s="1"/>
  <c r="K29" i="1"/>
  <c r="O29" i="9" s="1"/>
  <c r="J29" i="1"/>
  <c r="N29" i="9" s="1"/>
  <c r="H29" i="1"/>
  <c r="J29" i="9" s="1"/>
  <c r="G29" i="1"/>
  <c r="I29" i="9" s="1"/>
  <c r="F29" i="1"/>
  <c r="H29" i="9" s="1"/>
  <c r="E29" i="1"/>
  <c r="G29" i="9" s="1"/>
  <c r="D29" i="1"/>
  <c r="F29" i="9" s="1"/>
  <c r="C29" i="1"/>
  <c r="D29" i="9" s="1"/>
  <c r="R28" i="1"/>
  <c r="Q28" i="1"/>
  <c r="Y28" i="9" s="1"/>
  <c r="P28" i="1"/>
  <c r="C28" i="9" s="1"/>
  <c r="N28" i="1"/>
  <c r="R28" i="9" s="1"/>
  <c r="M28" i="1"/>
  <c r="Q28" i="9" s="1"/>
  <c r="K28" i="1"/>
  <c r="O28" i="9" s="1"/>
  <c r="J28" i="1"/>
  <c r="N28" i="9" s="1"/>
  <c r="H28" i="1"/>
  <c r="J28" i="9" s="1"/>
  <c r="G28" i="1"/>
  <c r="I28" i="9" s="1"/>
  <c r="F28" i="1"/>
  <c r="H28" i="9" s="1"/>
  <c r="E28" i="1"/>
  <c r="G28" i="9" s="1"/>
  <c r="D28" i="1"/>
  <c r="F28" i="9" s="1"/>
  <c r="C28" i="1"/>
  <c r="D28" i="9" s="1"/>
  <c r="R27" i="1"/>
  <c r="Q27" i="1"/>
  <c r="Y27" i="9" s="1"/>
  <c r="P27" i="1"/>
  <c r="C27" i="9" s="1"/>
  <c r="N27" i="1"/>
  <c r="R27" i="9" s="1"/>
  <c r="M27" i="1"/>
  <c r="Q27" i="9" s="1"/>
  <c r="K27" i="1"/>
  <c r="O27" i="9" s="1"/>
  <c r="J27" i="1"/>
  <c r="N27" i="9" s="1"/>
  <c r="H27" i="1"/>
  <c r="J27" i="9" s="1"/>
  <c r="G27" i="1"/>
  <c r="I27" i="9" s="1"/>
  <c r="F27" i="1"/>
  <c r="H27" i="9" s="1"/>
  <c r="E27" i="1"/>
  <c r="G27" i="9" s="1"/>
  <c r="D27" i="1"/>
  <c r="F27" i="9" s="1"/>
  <c r="C27" i="1"/>
  <c r="D27" i="9" s="1"/>
  <c r="R26" i="1"/>
  <c r="Q26" i="1"/>
  <c r="Y26" i="9" s="1"/>
  <c r="P26" i="1"/>
  <c r="C26" i="9" s="1"/>
  <c r="N26" i="1"/>
  <c r="R26" i="9" s="1"/>
  <c r="M26" i="1"/>
  <c r="Q26" i="9" s="1"/>
  <c r="K26" i="1"/>
  <c r="O26" i="9" s="1"/>
  <c r="J26" i="1"/>
  <c r="N26" i="9" s="1"/>
  <c r="H26" i="1"/>
  <c r="J26" i="9" s="1"/>
  <c r="G26" i="1"/>
  <c r="I26" i="9" s="1"/>
  <c r="F26" i="1"/>
  <c r="H26" i="9" s="1"/>
  <c r="E26" i="1"/>
  <c r="G26" i="9" s="1"/>
  <c r="D26" i="1"/>
  <c r="F26" i="9" s="1"/>
  <c r="C26" i="1"/>
  <c r="D26" i="9" s="1"/>
  <c r="R25" i="1"/>
  <c r="Q25" i="1"/>
  <c r="Y25" i="9" s="1"/>
  <c r="P25" i="1"/>
  <c r="C25" i="9" s="1"/>
  <c r="N25" i="1"/>
  <c r="R25" i="9" s="1"/>
  <c r="M25" i="1"/>
  <c r="Q25" i="9" s="1"/>
  <c r="K25" i="1"/>
  <c r="O25" i="9" s="1"/>
  <c r="J25" i="1"/>
  <c r="N25" i="9" s="1"/>
  <c r="H25" i="1"/>
  <c r="J25" i="9" s="1"/>
  <c r="G25" i="1"/>
  <c r="I25" i="9" s="1"/>
  <c r="F25" i="1"/>
  <c r="H25" i="9" s="1"/>
  <c r="E25" i="1"/>
  <c r="G25" i="9" s="1"/>
  <c r="D25" i="1"/>
  <c r="F25" i="9" s="1"/>
  <c r="C25" i="1"/>
  <c r="D25" i="9" s="1"/>
  <c r="R24" i="1"/>
  <c r="Q24" i="1"/>
  <c r="Y24" i="9" s="1"/>
  <c r="P24" i="1"/>
  <c r="C24" i="9" s="1"/>
  <c r="N24" i="1"/>
  <c r="R24" i="9" s="1"/>
  <c r="M24" i="1"/>
  <c r="Q24" i="9" s="1"/>
  <c r="K24" i="1"/>
  <c r="O24" i="9" s="1"/>
  <c r="J24" i="1"/>
  <c r="N24" i="9" s="1"/>
  <c r="H24" i="1"/>
  <c r="J24" i="9" s="1"/>
  <c r="G24" i="1"/>
  <c r="I24" i="9" s="1"/>
  <c r="F24" i="1"/>
  <c r="H24" i="9" s="1"/>
  <c r="E24" i="1"/>
  <c r="G24" i="9" s="1"/>
  <c r="D24" i="1"/>
  <c r="F24" i="9" s="1"/>
  <c r="C24" i="1"/>
  <c r="D24" i="9" s="1"/>
  <c r="R23" i="1"/>
  <c r="Q23" i="1"/>
  <c r="Y23" i="9" s="1"/>
  <c r="P23" i="1"/>
  <c r="C23" i="9" s="1"/>
  <c r="N23" i="1"/>
  <c r="R23" i="9" s="1"/>
  <c r="M23" i="1"/>
  <c r="Q23" i="9" s="1"/>
  <c r="K23" i="1"/>
  <c r="O23" i="9" s="1"/>
  <c r="J23" i="1"/>
  <c r="N23" i="9" s="1"/>
  <c r="H23" i="1"/>
  <c r="J23" i="9" s="1"/>
  <c r="G23" i="1"/>
  <c r="I23" i="9" s="1"/>
  <c r="F23" i="1"/>
  <c r="H23" i="9" s="1"/>
  <c r="E23" i="1"/>
  <c r="G23" i="9" s="1"/>
  <c r="D23" i="1"/>
  <c r="F23" i="9" s="1"/>
  <c r="C23" i="1"/>
  <c r="D23" i="9" s="1"/>
  <c r="R22" i="1"/>
  <c r="Q22" i="1"/>
  <c r="Y22" i="9" s="1"/>
  <c r="P22" i="1"/>
  <c r="N22" i="1"/>
  <c r="M22" i="1"/>
  <c r="K22" i="1"/>
  <c r="J22" i="1"/>
  <c r="H22" i="1"/>
  <c r="G22" i="1"/>
  <c r="F22" i="1"/>
  <c r="E22" i="1"/>
  <c r="D22" i="1"/>
  <c r="C22" i="1"/>
  <c r="R21" i="1"/>
  <c r="Q21" i="1"/>
  <c r="Y21" i="9" s="1"/>
  <c r="P21" i="1"/>
  <c r="C21" i="9" s="1"/>
  <c r="N21" i="1"/>
  <c r="R21" i="9" s="1"/>
  <c r="M21" i="1"/>
  <c r="Q21" i="9" s="1"/>
  <c r="K21" i="1"/>
  <c r="O21" i="9" s="1"/>
  <c r="J21" i="1"/>
  <c r="N21" i="9" s="1"/>
  <c r="H21" i="1"/>
  <c r="J21" i="9" s="1"/>
  <c r="G21" i="1"/>
  <c r="I21" i="9" s="1"/>
  <c r="F21" i="1"/>
  <c r="H21" i="9" s="1"/>
  <c r="E21" i="1"/>
  <c r="G21" i="9" s="1"/>
  <c r="D21" i="1"/>
  <c r="F21" i="9" s="1"/>
  <c r="C21" i="1"/>
  <c r="D21" i="9" s="1"/>
  <c r="R20" i="1"/>
  <c r="Q20" i="1"/>
  <c r="Y20" i="9" s="1"/>
  <c r="P20" i="1"/>
  <c r="C20" i="9" s="1"/>
  <c r="N20" i="1"/>
  <c r="R20" i="9" s="1"/>
  <c r="M20" i="1"/>
  <c r="Q20" i="9" s="1"/>
  <c r="K20" i="1"/>
  <c r="O20" i="9" s="1"/>
  <c r="J20" i="1"/>
  <c r="N20" i="9" s="1"/>
  <c r="H20" i="1"/>
  <c r="J20" i="9" s="1"/>
  <c r="G20" i="1"/>
  <c r="I20" i="9" s="1"/>
  <c r="F20" i="1"/>
  <c r="H20" i="9" s="1"/>
  <c r="E20" i="1"/>
  <c r="G20" i="9" s="1"/>
  <c r="D20" i="1"/>
  <c r="F20" i="9" s="1"/>
  <c r="C20" i="1"/>
  <c r="D20" i="9" s="1"/>
  <c r="R19" i="1"/>
  <c r="Q19" i="1"/>
  <c r="Y19" i="9" s="1"/>
  <c r="P19" i="1"/>
  <c r="C19" i="9" s="1"/>
  <c r="N19" i="1"/>
  <c r="R19" i="9" s="1"/>
  <c r="M19" i="1"/>
  <c r="Q19" i="9" s="1"/>
  <c r="K19" i="1"/>
  <c r="O19" i="9" s="1"/>
  <c r="J19" i="1"/>
  <c r="N19" i="9" s="1"/>
  <c r="H19" i="1"/>
  <c r="J19" i="9" s="1"/>
  <c r="G19" i="1"/>
  <c r="I19" i="9" s="1"/>
  <c r="F19" i="1"/>
  <c r="H19" i="9" s="1"/>
  <c r="E19" i="1"/>
  <c r="G19" i="9" s="1"/>
  <c r="D19" i="1"/>
  <c r="F19" i="9" s="1"/>
  <c r="C19" i="1"/>
  <c r="D19" i="9" s="1"/>
  <c r="R18" i="1"/>
  <c r="Q18" i="1"/>
  <c r="Y18" i="9" s="1"/>
  <c r="P18" i="1"/>
  <c r="C18" i="9" s="1"/>
  <c r="N18" i="1"/>
  <c r="R18" i="9" s="1"/>
  <c r="M18" i="1"/>
  <c r="Q18" i="9" s="1"/>
  <c r="K18" i="1"/>
  <c r="O18" i="9" s="1"/>
  <c r="J18" i="1"/>
  <c r="N18" i="9" s="1"/>
  <c r="H18" i="1"/>
  <c r="J18" i="9" s="1"/>
  <c r="G18" i="1"/>
  <c r="I18" i="9" s="1"/>
  <c r="F18" i="1"/>
  <c r="H18" i="9" s="1"/>
  <c r="E18" i="1"/>
  <c r="G18" i="9" s="1"/>
  <c r="D18" i="1"/>
  <c r="F18" i="9" s="1"/>
  <c r="C18" i="1"/>
  <c r="D18" i="9" s="1"/>
  <c r="R17" i="1"/>
  <c r="Q17" i="1"/>
  <c r="Y17" i="9" s="1"/>
  <c r="P17" i="1"/>
  <c r="C17" i="9" s="1"/>
  <c r="N17" i="1"/>
  <c r="R17" i="9" s="1"/>
  <c r="M17" i="1"/>
  <c r="Q17" i="9" s="1"/>
  <c r="K17" i="1"/>
  <c r="O17" i="9" s="1"/>
  <c r="J17" i="1"/>
  <c r="N17" i="9" s="1"/>
  <c r="H17" i="1"/>
  <c r="J17" i="9" s="1"/>
  <c r="G17" i="1"/>
  <c r="I17" i="9" s="1"/>
  <c r="F17" i="1"/>
  <c r="H17" i="9" s="1"/>
  <c r="E17" i="1"/>
  <c r="G17" i="9" s="1"/>
  <c r="D17" i="1"/>
  <c r="F17" i="9" s="1"/>
  <c r="C17" i="1"/>
  <c r="D17" i="9" s="1"/>
  <c r="R16" i="1"/>
  <c r="Q16" i="1"/>
  <c r="Y16" i="9" s="1"/>
  <c r="P16" i="1"/>
  <c r="C16" i="9" s="1"/>
  <c r="N16" i="1"/>
  <c r="R16" i="9" s="1"/>
  <c r="M16" i="1"/>
  <c r="Q16" i="9" s="1"/>
  <c r="K16" i="1"/>
  <c r="O16" i="9" s="1"/>
  <c r="J16" i="1"/>
  <c r="N16" i="9" s="1"/>
  <c r="H16" i="1"/>
  <c r="J16" i="9" s="1"/>
  <c r="G16" i="1"/>
  <c r="I16" i="9" s="1"/>
  <c r="F16" i="1"/>
  <c r="H16" i="9" s="1"/>
  <c r="E16" i="1"/>
  <c r="G16" i="9" s="1"/>
  <c r="D16" i="1"/>
  <c r="F16" i="9" s="1"/>
  <c r="C16" i="1"/>
  <c r="D16" i="9" s="1"/>
  <c r="R15" i="1"/>
  <c r="Q15" i="1"/>
  <c r="Y15" i="9" s="1"/>
  <c r="P15" i="1"/>
  <c r="C15" i="9" s="1"/>
  <c r="N15" i="1"/>
  <c r="R15" i="9" s="1"/>
  <c r="M15" i="1"/>
  <c r="Q15" i="9" s="1"/>
  <c r="K15" i="1"/>
  <c r="O15" i="9" s="1"/>
  <c r="J15" i="1"/>
  <c r="N15" i="9" s="1"/>
  <c r="H15" i="1"/>
  <c r="J15" i="9" s="1"/>
  <c r="G15" i="1"/>
  <c r="I15" i="9" s="1"/>
  <c r="F15" i="1"/>
  <c r="H15" i="9" s="1"/>
  <c r="E15" i="1"/>
  <c r="G15" i="9" s="1"/>
  <c r="D15" i="1"/>
  <c r="F15" i="9" s="1"/>
  <c r="C15" i="1"/>
  <c r="D15" i="9" s="1"/>
  <c r="R14" i="1"/>
  <c r="Q14" i="1"/>
  <c r="Y14" i="9" s="1"/>
  <c r="P14" i="1"/>
  <c r="C14" i="9" s="1"/>
  <c r="N14" i="1"/>
  <c r="R14" i="9" s="1"/>
  <c r="M14" i="1"/>
  <c r="Q14" i="9" s="1"/>
  <c r="K14" i="1"/>
  <c r="O14" i="9" s="1"/>
  <c r="J14" i="1"/>
  <c r="N14" i="9" s="1"/>
  <c r="H14" i="1"/>
  <c r="J14" i="9" s="1"/>
  <c r="G14" i="1"/>
  <c r="I14" i="9" s="1"/>
  <c r="F14" i="1"/>
  <c r="H14" i="9" s="1"/>
  <c r="E14" i="1"/>
  <c r="G14" i="9" s="1"/>
  <c r="D14" i="1"/>
  <c r="F14" i="9" s="1"/>
  <c r="C14" i="1"/>
  <c r="D14" i="9" s="1"/>
  <c r="R13" i="1"/>
  <c r="Q13" i="1"/>
  <c r="Y13" i="9" s="1"/>
  <c r="P13" i="1"/>
  <c r="C13" i="9" s="1"/>
  <c r="N13" i="1"/>
  <c r="R13" i="9" s="1"/>
  <c r="M13" i="1"/>
  <c r="Q13" i="9" s="1"/>
  <c r="K13" i="1"/>
  <c r="O13" i="9" s="1"/>
  <c r="J13" i="1"/>
  <c r="N13" i="9" s="1"/>
  <c r="H13" i="1"/>
  <c r="J13" i="9" s="1"/>
  <c r="G13" i="1"/>
  <c r="I13" i="9" s="1"/>
  <c r="F13" i="1"/>
  <c r="H13" i="9" s="1"/>
  <c r="E13" i="1"/>
  <c r="G13" i="9" s="1"/>
  <c r="D13" i="1"/>
  <c r="F13" i="9" s="1"/>
  <c r="C13" i="1"/>
  <c r="D13" i="9" s="1"/>
  <c r="R12" i="1"/>
  <c r="Q12" i="1"/>
  <c r="Y12" i="9" s="1"/>
  <c r="P12" i="1"/>
  <c r="C12" i="9" s="1"/>
  <c r="N12" i="1"/>
  <c r="R12" i="9" s="1"/>
  <c r="M12" i="1"/>
  <c r="Q12" i="9" s="1"/>
  <c r="K12" i="1"/>
  <c r="O12" i="9" s="1"/>
  <c r="J12" i="1"/>
  <c r="N12" i="9" s="1"/>
  <c r="H12" i="1"/>
  <c r="J12" i="9" s="1"/>
  <c r="G12" i="1"/>
  <c r="I12" i="9" s="1"/>
  <c r="F12" i="1"/>
  <c r="H12" i="9" s="1"/>
  <c r="E12" i="1"/>
  <c r="G12" i="9" s="1"/>
  <c r="D12" i="1"/>
  <c r="F12" i="9" s="1"/>
  <c r="C12" i="1"/>
  <c r="D12" i="9" s="1"/>
  <c r="R11" i="1"/>
  <c r="Q11" i="1"/>
  <c r="Y11" i="9" s="1"/>
  <c r="P11" i="1"/>
  <c r="C11" i="9" s="1"/>
  <c r="N11" i="1"/>
  <c r="R11" i="9" s="1"/>
  <c r="M11" i="1"/>
  <c r="Q11" i="9" s="1"/>
  <c r="K11" i="1"/>
  <c r="O11" i="9" s="1"/>
  <c r="J11" i="1"/>
  <c r="N11" i="9" s="1"/>
  <c r="H11" i="1"/>
  <c r="J11" i="9" s="1"/>
  <c r="G11" i="1"/>
  <c r="I11" i="9" s="1"/>
  <c r="F11" i="1"/>
  <c r="H11" i="9" s="1"/>
  <c r="E11" i="1"/>
  <c r="G11" i="9" s="1"/>
  <c r="D11" i="1"/>
  <c r="F11" i="9" s="1"/>
  <c r="C11" i="1"/>
  <c r="D11" i="9" s="1"/>
  <c r="R10" i="1"/>
  <c r="Q10" i="1" s="1"/>
  <c r="Y10" i="9" s="1"/>
  <c r="P10" i="1"/>
  <c r="C10" i="9" s="1"/>
  <c r="N10" i="1"/>
  <c r="R10" i="9" s="1"/>
  <c r="M10" i="1"/>
  <c r="Q10" i="9" s="1"/>
  <c r="K10" i="1"/>
  <c r="O10" i="9" s="1"/>
  <c r="J10" i="1"/>
  <c r="N10" i="9" s="1"/>
  <c r="H10" i="1"/>
  <c r="J10" i="9" s="1"/>
  <c r="G10" i="1"/>
  <c r="I10" i="9" s="1"/>
  <c r="F10" i="1"/>
  <c r="H10" i="9" s="1"/>
  <c r="E10" i="1"/>
  <c r="G10" i="9" s="1"/>
  <c r="D10" i="1"/>
  <c r="F10" i="9" s="1"/>
  <c r="C10" i="1"/>
  <c r="D10" i="9" s="1"/>
  <c r="R9" i="1"/>
  <c r="Q9" i="1"/>
  <c r="Y9" i="9" s="1"/>
  <c r="P9" i="1"/>
  <c r="C9" i="9" s="1"/>
  <c r="N9" i="1"/>
  <c r="R9" i="9" s="1"/>
  <c r="M9" i="1"/>
  <c r="Q9" i="9" s="1"/>
  <c r="K9" i="1"/>
  <c r="O9" i="9" s="1"/>
  <c r="J9" i="1"/>
  <c r="N9" i="9" s="1"/>
  <c r="H9" i="1"/>
  <c r="J9" i="9" s="1"/>
  <c r="G9" i="1"/>
  <c r="I9" i="9" s="1"/>
  <c r="F9" i="1"/>
  <c r="H9" i="9" s="1"/>
  <c r="E9" i="1"/>
  <c r="G9" i="9" s="1"/>
  <c r="D9" i="1"/>
  <c r="F9" i="9" s="1"/>
  <c r="C9" i="1"/>
  <c r="D9" i="9" s="1"/>
  <c r="R8" i="1"/>
  <c r="P8" i="1"/>
  <c r="C8" i="9" s="1"/>
  <c r="N8" i="1"/>
  <c r="R8" i="9" s="1"/>
  <c r="M8" i="1"/>
  <c r="Q8" i="9" s="1"/>
  <c r="K8" i="1"/>
  <c r="O8" i="9" s="1"/>
  <c r="J8" i="1"/>
  <c r="N8" i="9" s="1"/>
  <c r="H8" i="1"/>
  <c r="J8" i="9" s="1"/>
  <c r="G8" i="1"/>
  <c r="I8" i="9" s="1"/>
  <c r="F8" i="1"/>
  <c r="H8" i="9" s="1"/>
  <c r="E8" i="1"/>
  <c r="G8" i="9" s="1"/>
  <c r="D8" i="1"/>
  <c r="F8" i="9" s="1"/>
  <c r="C8" i="1"/>
  <c r="D8" i="9" s="1"/>
  <c r="R7" i="1"/>
  <c r="P7" i="1"/>
  <c r="C7" i="9" s="1"/>
  <c r="N7" i="1"/>
  <c r="R7" i="9" s="1"/>
  <c r="M7" i="1"/>
  <c r="Q7" i="9" s="1"/>
  <c r="K7" i="1"/>
  <c r="O7" i="9" s="1"/>
  <c r="J7" i="1"/>
  <c r="N7" i="9" s="1"/>
  <c r="H7" i="1"/>
  <c r="J7" i="9" s="1"/>
  <c r="G7" i="1"/>
  <c r="I7" i="9" s="1"/>
  <c r="F7" i="1"/>
  <c r="H7" i="9" s="1"/>
  <c r="E7" i="1"/>
  <c r="G7" i="9" s="1"/>
  <c r="D7" i="1"/>
  <c r="F7" i="9" s="1"/>
  <c r="C7" i="1"/>
  <c r="D7" i="9" s="1"/>
  <c r="R6" i="1"/>
  <c r="P6" i="1"/>
  <c r="C6" i="9" s="1"/>
  <c r="N6" i="1"/>
  <c r="R6" i="9" s="1"/>
  <c r="M6" i="1"/>
  <c r="Q6" i="9" s="1"/>
  <c r="K6" i="1"/>
  <c r="O6" i="9" s="1"/>
  <c r="J6" i="1"/>
  <c r="N6" i="9" s="1"/>
  <c r="H6" i="1"/>
  <c r="J6" i="9" s="1"/>
  <c r="G6" i="1"/>
  <c r="I6" i="9" s="1"/>
  <c r="F6" i="1"/>
  <c r="H6" i="9" s="1"/>
  <c r="E6" i="1"/>
  <c r="G6" i="9" s="1"/>
  <c r="D6" i="1"/>
  <c r="F6" i="9" s="1"/>
  <c r="C6" i="1"/>
  <c r="D6" i="9" s="1"/>
  <c r="R5" i="1"/>
  <c r="P5" i="1"/>
  <c r="C5" i="9" s="1"/>
  <c r="N5" i="1"/>
  <c r="R5" i="9" s="1"/>
  <c r="M5" i="1"/>
  <c r="Q5" i="9" s="1"/>
  <c r="K5" i="1"/>
  <c r="O5" i="9" s="1"/>
  <c r="J5" i="1"/>
  <c r="N5" i="9" s="1"/>
  <c r="H5" i="1"/>
  <c r="J5" i="9" s="1"/>
  <c r="G5" i="1"/>
  <c r="I5" i="9" s="1"/>
  <c r="F5" i="1"/>
  <c r="H5" i="9" s="1"/>
  <c r="E5" i="1"/>
  <c r="G5" i="9" s="1"/>
  <c r="D5" i="1"/>
  <c r="F5" i="9" s="1"/>
  <c r="C5" i="1"/>
  <c r="D5" i="9" s="1"/>
  <c r="R4" i="1"/>
  <c r="P4" i="1"/>
  <c r="C4" i="9" s="1"/>
  <c r="N4" i="1"/>
  <c r="R4" i="9" s="1"/>
  <c r="M4" i="1"/>
  <c r="Q4" i="9" s="1"/>
  <c r="K4" i="1"/>
  <c r="O4" i="9" s="1"/>
  <c r="J4" i="1"/>
  <c r="N4" i="9" s="1"/>
  <c r="H4" i="1"/>
  <c r="J4" i="9" s="1"/>
  <c r="G4" i="1"/>
  <c r="I4" i="9" s="1"/>
  <c r="F4" i="1"/>
  <c r="H4" i="9" s="1"/>
  <c r="E4" i="1"/>
  <c r="G4" i="9" s="1"/>
  <c r="D4" i="1"/>
  <c r="F4" i="9" s="1"/>
  <c r="C4" i="1"/>
  <c r="D4" i="9" s="1"/>
  <c r="R3" i="1"/>
  <c r="P3" i="1"/>
  <c r="C3" i="9" s="1"/>
  <c r="N3" i="1"/>
  <c r="R3" i="9" s="1"/>
  <c r="M3" i="1"/>
  <c r="Q3" i="9" s="1"/>
  <c r="K3" i="1"/>
  <c r="O3" i="9" s="1"/>
  <c r="J3" i="1"/>
  <c r="N3" i="9" s="1"/>
  <c r="H3" i="1"/>
  <c r="J3" i="9" s="1"/>
  <c r="G3" i="1"/>
  <c r="I3" i="9" s="1"/>
  <c r="F3" i="1"/>
  <c r="H3" i="9" s="1"/>
  <c r="E3" i="1"/>
  <c r="G3" i="9" s="1"/>
  <c r="D3" i="1"/>
  <c r="F3" i="9" s="1"/>
  <c r="C3" i="1"/>
  <c r="D3" i="9" s="1"/>
  <c r="R2" i="1"/>
  <c r="P2" i="1"/>
  <c r="C2" i="9" s="1"/>
  <c r="N2" i="1"/>
  <c r="R2" i="9" s="1"/>
  <c r="M2" i="1"/>
  <c r="Q2" i="9" s="1"/>
  <c r="K2" i="1"/>
  <c r="O2" i="9" s="1"/>
  <c r="J2" i="1"/>
  <c r="N2" i="9" s="1"/>
  <c r="H2" i="1"/>
  <c r="J2" i="9" s="1"/>
  <c r="G2" i="1"/>
  <c r="I2" i="9" s="1"/>
  <c r="F2" i="1"/>
  <c r="H2" i="9" s="1"/>
  <c r="E2" i="1"/>
  <c r="G2" i="9" s="1"/>
  <c r="D2" i="1"/>
  <c r="F2" i="9" s="1"/>
  <c r="C2" i="1"/>
  <c r="D2" i="9" s="1"/>
  <c r="Z50" i="9" l="1"/>
  <c r="X50" i="9"/>
  <c r="W50" i="9"/>
  <c r="V50" i="9"/>
  <c r="U50" i="9"/>
  <c r="T50" i="9"/>
  <c r="M50" i="9"/>
  <c r="Z49" i="9"/>
  <c r="X49" i="9"/>
  <c r="W49" i="9"/>
  <c r="V49" i="9"/>
  <c r="U49" i="9"/>
  <c r="T49" i="9"/>
  <c r="M49" i="9"/>
  <c r="Z48" i="9"/>
  <c r="X48" i="9"/>
  <c r="W48" i="9"/>
  <c r="V48" i="9"/>
  <c r="U48" i="9"/>
  <c r="T48" i="9"/>
  <c r="M48" i="9"/>
  <c r="Z47" i="9"/>
  <c r="X47" i="9"/>
  <c r="W47" i="9"/>
  <c r="V47" i="9"/>
  <c r="U47" i="9"/>
  <c r="T47" i="9"/>
  <c r="M47" i="9"/>
  <c r="Z46" i="9"/>
  <c r="M46" i="9"/>
  <c r="X46" i="9"/>
  <c r="W46" i="9"/>
  <c r="V46" i="9"/>
  <c r="U46" i="9"/>
  <c r="T46" i="9"/>
  <c r="Z45" i="9"/>
  <c r="M45" i="9"/>
  <c r="X45" i="9"/>
  <c r="W45" i="9"/>
  <c r="V45" i="9"/>
  <c r="U45" i="9"/>
  <c r="T45" i="9"/>
  <c r="Z44" i="9"/>
  <c r="X44" i="9"/>
  <c r="W44" i="9"/>
  <c r="V44" i="9"/>
  <c r="U44" i="9"/>
  <c r="T44" i="9"/>
  <c r="M44" i="9"/>
  <c r="Z43" i="9"/>
  <c r="M43" i="9"/>
  <c r="X43" i="9"/>
  <c r="W43" i="9"/>
  <c r="V43" i="9"/>
  <c r="U43" i="9"/>
  <c r="T43" i="9"/>
  <c r="Z42" i="9"/>
  <c r="X42" i="9"/>
  <c r="W42" i="9"/>
  <c r="V42" i="9"/>
  <c r="U42" i="9"/>
  <c r="T42" i="9"/>
  <c r="M42" i="9"/>
  <c r="Z41" i="9"/>
  <c r="X41" i="9"/>
  <c r="W41" i="9"/>
  <c r="V41" i="9"/>
  <c r="U41" i="9"/>
  <c r="T41" i="9"/>
  <c r="M41" i="9"/>
  <c r="T40" i="9"/>
  <c r="Z40" i="9"/>
  <c r="M40" i="9"/>
  <c r="X40" i="9"/>
  <c r="W40" i="9"/>
  <c r="V40" i="9"/>
  <c r="U40" i="9"/>
  <c r="Z39" i="9"/>
  <c r="X39" i="9"/>
  <c r="W39" i="9"/>
  <c r="V39" i="9"/>
  <c r="U39" i="9"/>
  <c r="T39" i="9"/>
  <c r="M39" i="9"/>
  <c r="Z38" i="9"/>
  <c r="X38" i="9"/>
  <c r="W38" i="9"/>
  <c r="V38" i="9"/>
  <c r="U38" i="9"/>
  <c r="T38" i="9"/>
  <c r="M38" i="9"/>
  <c r="M37" i="9"/>
  <c r="Z37" i="9"/>
  <c r="X37" i="9"/>
  <c r="W37" i="9"/>
  <c r="V37" i="9"/>
  <c r="U37" i="9"/>
  <c r="T37" i="9"/>
  <c r="Z36" i="9"/>
  <c r="X36" i="9"/>
  <c r="W36" i="9"/>
  <c r="V36" i="9"/>
  <c r="U36" i="9"/>
  <c r="T36" i="9"/>
  <c r="M36" i="9"/>
  <c r="Z35" i="9"/>
  <c r="X35" i="9"/>
  <c r="W35" i="9"/>
  <c r="V35" i="9"/>
  <c r="U35" i="9"/>
  <c r="T35" i="9"/>
  <c r="M35" i="9"/>
  <c r="M34" i="9"/>
  <c r="Z34" i="9"/>
  <c r="X34" i="9"/>
  <c r="W34" i="9"/>
  <c r="V34" i="9"/>
  <c r="U34" i="9"/>
  <c r="T34" i="9"/>
  <c r="Z33" i="9"/>
  <c r="X33" i="9"/>
  <c r="W33" i="9"/>
  <c r="V33" i="9"/>
  <c r="U33" i="9"/>
  <c r="T33" i="9"/>
  <c r="M33" i="9"/>
  <c r="Z32" i="9"/>
  <c r="X32" i="9"/>
  <c r="W32" i="9"/>
  <c r="V32" i="9"/>
  <c r="U32" i="9"/>
  <c r="T32" i="9"/>
  <c r="M32" i="9"/>
  <c r="Z30" i="9"/>
  <c r="X30" i="9"/>
  <c r="W30" i="9"/>
  <c r="V30" i="9"/>
  <c r="U30" i="9"/>
  <c r="T30" i="9"/>
  <c r="M30" i="9"/>
  <c r="T29" i="9"/>
  <c r="Z29" i="9"/>
  <c r="M29" i="9"/>
  <c r="X29" i="9"/>
  <c r="W29" i="9"/>
  <c r="V29" i="9"/>
  <c r="U29" i="9"/>
  <c r="Z28" i="9"/>
  <c r="X28" i="9"/>
  <c r="W28" i="9"/>
  <c r="V28" i="9"/>
  <c r="U28" i="9"/>
  <c r="T28" i="9"/>
  <c r="M28" i="9"/>
  <c r="Z27" i="9"/>
  <c r="X27" i="9"/>
  <c r="W27" i="9"/>
  <c r="V27" i="9"/>
  <c r="U27" i="9"/>
  <c r="T27" i="9"/>
  <c r="M27" i="9"/>
  <c r="M26" i="9"/>
  <c r="Z26" i="9"/>
  <c r="X26" i="9"/>
  <c r="W26" i="9"/>
  <c r="V26" i="9"/>
  <c r="U26" i="9"/>
  <c r="T26" i="9"/>
  <c r="U25" i="9"/>
  <c r="Z25" i="9"/>
  <c r="X25" i="9"/>
  <c r="W25" i="9"/>
  <c r="V25" i="9"/>
  <c r="T25" i="9"/>
  <c r="M25" i="9"/>
  <c r="Z24" i="9"/>
  <c r="X24" i="9"/>
  <c r="W24" i="9"/>
  <c r="V24" i="9"/>
  <c r="U24" i="9"/>
  <c r="T24" i="9"/>
  <c r="M24" i="9"/>
  <c r="Z23" i="9"/>
  <c r="X23" i="9"/>
  <c r="W23" i="9"/>
  <c r="V23" i="9"/>
  <c r="U23" i="9"/>
  <c r="T23" i="9"/>
  <c r="M23" i="9"/>
  <c r="U22" i="9"/>
  <c r="Z22" i="9"/>
  <c r="X22" i="9"/>
  <c r="W22" i="9"/>
  <c r="V22" i="9"/>
  <c r="M21" i="9"/>
  <c r="Z21" i="9"/>
  <c r="X21" i="9"/>
  <c r="W21" i="9"/>
  <c r="V21" i="9"/>
  <c r="U21" i="9"/>
  <c r="T21" i="9"/>
  <c r="Z20" i="9"/>
  <c r="X20" i="9"/>
  <c r="W20" i="9"/>
  <c r="V20" i="9"/>
  <c r="U20" i="9"/>
  <c r="T20" i="9"/>
  <c r="M20" i="9"/>
  <c r="W19" i="9"/>
  <c r="Z19" i="9"/>
  <c r="M19" i="9"/>
  <c r="X19" i="9"/>
  <c r="V19" i="9"/>
  <c r="U19" i="9"/>
  <c r="T19" i="9"/>
  <c r="M18" i="9"/>
  <c r="Z18" i="9"/>
  <c r="X18" i="9"/>
  <c r="W18" i="9"/>
  <c r="V18" i="9"/>
  <c r="U18" i="9"/>
  <c r="T18" i="9"/>
  <c r="Z17" i="9"/>
  <c r="X17" i="9"/>
  <c r="W17" i="9"/>
  <c r="V17" i="9"/>
  <c r="U17" i="9"/>
  <c r="T17" i="9"/>
  <c r="M17" i="9"/>
  <c r="T16" i="9"/>
  <c r="Z16" i="9"/>
  <c r="M16" i="9"/>
  <c r="X16" i="9"/>
  <c r="W16" i="9"/>
  <c r="V16" i="9"/>
  <c r="U16" i="9"/>
  <c r="M15" i="9"/>
  <c r="Z15" i="9"/>
  <c r="X15" i="9"/>
  <c r="W15" i="9"/>
  <c r="V15" i="9"/>
  <c r="U15" i="9"/>
  <c r="T15" i="9"/>
  <c r="Z14" i="9"/>
  <c r="X14" i="9"/>
  <c r="W14" i="9"/>
  <c r="V14" i="9"/>
  <c r="U14" i="9"/>
  <c r="T14" i="9"/>
  <c r="M14" i="9"/>
  <c r="T13" i="9"/>
  <c r="Z13" i="9"/>
  <c r="M13" i="9"/>
  <c r="X13" i="9"/>
  <c r="W13" i="9"/>
  <c r="V13" i="9"/>
  <c r="U13" i="9"/>
  <c r="X12" i="9"/>
  <c r="Z12" i="9"/>
  <c r="T12" i="9"/>
  <c r="M12" i="9"/>
  <c r="W12" i="9"/>
  <c r="V12" i="9"/>
  <c r="U12" i="9"/>
  <c r="X11" i="9"/>
  <c r="Z11" i="9"/>
  <c r="W11" i="9"/>
  <c r="V11" i="9"/>
  <c r="U11" i="9"/>
  <c r="T11" i="9"/>
  <c r="M11" i="9"/>
  <c r="X10" i="9"/>
  <c r="M10" i="9"/>
  <c r="U10" i="9"/>
  <c r="T10" i="9"/>
  <c r="V10" i="9"/>
  <c r="W10" i="9"/>
  <c r="Z10" i="9"/>
  <c r="Z9" i="9"/>
  <c r="X9" i="9"/>
  <c r="U9" i="9"/>
  <c r="V9" i="9"/>
  <c r="W9" i="9"/>
  <c r="T9" i="9"/>
  <c r="M9" i="9"/>
  <c r="T8" i="9"/>
  <c r="U8" i="9"/>
  <c r="V8" i="9"/>
  <c r="W8" i="9"/>
  <c r="Z8" i="9"/>
  <c r="Q8" i="1"/>
  <c r="Y8" i="9" s="1"/>
  <c r="M8" i="9"/>
  <c r="X8" i="9"/>
  <c r="Q7" i="1"/>
  <c r="Y7" i="9" s="1"/>
  <c r="M7" i="9"/>
  <c r="T7" i="9"/>
  <c r="U7" i="9"/>
  <c r="V7" i="9"/>
  <c r="W7" i="9"/>
  <c r="X7" i="9"/>
  <c r="Z7" i="9"/>
  <c r="T6" i="9"/>
  <c r="M6" i="9"/>
  <c r="W6" i="9"/>
  <c r="Z6" i="9"/>
  <c r="X6" i="9"/>
  <c r="V6" i="9"/>
  <c r="Q6" i="1"/>
  <c r="Y6" i="9" s="1"/>
  <c r="U6" i="9"/>
  <c r="T5" i="9"/>
  <c r="U5" i="9"/>
  <c r="V5" i="9"/>
  <c r="Q5" i="1"/>
  <c r="Y5" i="9" s="1"/>
  <c r="M5" i="9"/>
  <c r="X5" i="9"/>
  <c r="W5" i="9"/>
  <c r="Z5" i="9"/>
  <c r="M4" i="9"/>
  <c r="T4" i="9"/>
  <c r="Z4" i="9"/>
  <c r="X4" i="9"/>
  <c r="W4" i="9"/>
  <c r="V4" i="9"/>
  <c r="U4" i="9"/>
  <c r="Q4" i="1"/>
  <c r="Y4" i="9" s="1"/>
  <c r="V3" i="9"/>
  <c r="W3" i="9"/>
  <c r="X3" i="9"/>
  <c r="Z3" i="9"/>
  <c r="Q3" i="1"/>
  <c r="Y3" i="9" s="1"/>
  <c r="M3" i="9"/>
  <c r="T3" i="9"/>
  <c r="U3" i="9"/>
  <c r="Q2" i="1"/>
  <c r="Y2" i="9" s="1"/>
  <c r="X2" i="9"/>
  <c r="V2" i="9"/>
  <c r="T2" i="9"/>
  <c r="M2" i="9"/>
  <c r="Z2" i="9"/>
  <c r="W2" i="9"/>
  <c r="U2" i="9"/>
</calcChain>
</file>

<file path=xl/sharedStrings.xml><?xml version="1.0" encoding="utf-8"?>
<sst xmlns="http://schemas.openxmlformats.org/spreadsheetml/2006/main" count="252" uniqueCount="105">
  <si>
    <t>период</t>
  </si>
  <si>
    <t>фио_сотрудника</t>
  </si>
  <si>
    <t>таб_номер</t>
  </si>
  <si>
    <t>ДЦ</t>
  </si>
  <si>
    <t>ЦФО</t>
  </si>
  <si>
    <t>подразделение</t>
  </si>
  <si>
    <t>должность</t>
  </si>
  <si>
    <t>марка</t>
  </si>
  <si>
    <t>вид_премии</t>
  </si>
  <si>
    <t>вх_параметр_1_название</t>
  </si>
  <si>
    <t>ед_изм_1</t>
  </si>
  <si>
    <t>вх_параметр_1_значение</t>
  </si>
  <si>
    <t>KPI_название</t>
  </si>
  <si>
    <t>KPI_ед.изм.</t>
  </si>
  <si>
    <t>KPI_значение</t>
  </si>
  <si>
    <t>тип_периода</t>
  </si>
  <si>
    <t>Премия_руб</t>
  </si>
  <si>
    <t>лист_шкалы</t>
  </si>
  <si>
    <t>Иванов Алексей Петрович</t>
  </si>
  <si>
    <t>Премия за количество новых АМ</t>
  </si>
  <si>
    <t>Q3 2026</t>
  </si>
  <si>
    <t>Петров Игорь Владимирович</t>
  </si>
  <si>
    <t>Поквартальная премия от продажи финансовых услуг</t>
  </si>
  <si>
    <t>Лебедев Константин Юрьевич</t>
  </si>
  <si>
    <t>Смирнова Елена Сергеевна</t>
  </si>
  <si>
    <t>Морозова Анна Павловна</t>
  </si>
  <si>
    <t>Премия за маржу сервиса</t>
  </si>
  <si>
    <t>Премия за кумулятивную маржу</t>
  </si>
  <si>
    <t>код_вида_премии</t>
  </si>
  <si>
    <t>название_вида_премии</t>
  </si>
  <si>
    <t>период_выплаты</t>
  </si>
  <si>
    <t>ед_изм_вх_параметр_1</t>
  </si>
  <si>
    <t>KPI</t>
  </si>
  <si>
    <t>ед_изм_вх_параметр_2</t>
  </si>
  <si>
    <t>ключ_списка</t>
  </si>
  <si>
    <t>BT-001</t>
  </si>
  <si>
    <t>ЕЖЕМЕСЯЧНО</t>
  </si>
  <si>
    <t>Менеджер по продажам новых АМ</t>
  </si>
  <si>
    <t>Кол-во проданных автомобилей</t>
  </si>
  <si>
    <t>ед.</t>
  </si>
  <si>
    <t>BT-001_Премия_КолвоАМ</t>
  </si>
  <si>
    <t>BT-002</t>
  </si>
  <si>
    <t>Кумулятивная маржа при продаже нового АМ</t>
  </si>
  <si>
    <t>руб.</t>
  </si>
  <si>
    <t>BT-002_Премия_КумМаржа</t>
  </si>
  <si>
    <t>BT-003</t>
  </si>
  <si>
    <t>Мастер-консультант</t>
  </si>
  <si>
    <t>% выполнения плана</t>
  </si>
  <si>
    <t>%</t>
  </si>
  <si>
    <t>Маржа от продажи сервисных услуг</t>
  </si>
  <si>
    <t>BT-003_Премия_МаржаСервис</t>
  </si>
  <si>
    <t>BT-004</t>
  </si>
  <si>
    <t>ЕЖЕКВАРТАЛЬНО</t>
  </si>
  <si>
    <t>Плановое значение премии за КВ от продажи финансовых услуг</t>
  </si>
  <si>
    <t>BT-004_Премия_КВФин</t>
  </si>
  <si>
    <t>Менеджер по кредитованию и страхованию</t>
  </si>
  <si>
    <t>шкала_расчета</t>
  </si>
  <si>
    <t>название_премии</t>
  </si>
  <si>
    <t>диапазон_от</t>
  </si>
  <si>
    <t>диапазон_до</t>
  </si>
  <si>
    <t>множитель</t>
  </si>
  <si>
    <t>постоянная_часть</t>
  </si>
  <si>
    <t>тип_множителя</t>
  </si>
  <si>
    <t>SCALE-001</t>
  </si>
  <si>
    <t>BT-001 Премия за количество новых АМ</t>
  </si>
  <si>
    <t>Число</t>
  </si>
  <si>
    <t>SCALE-002</t>
  </si>
  <si>
    <t>SCALE-003</t>
  </si>
  <si>
    <t>SCALE-004</t>
  </si>
  <si>
    <t>SCALE-005</t>
  </si>
  <si>
    <t>BT-002 Премия за кумулятивную маржу при продаже новых АМ</t>
  </si>
  <si>
    <t>SCALE-006</t>
  </si>
  <si>
    <t>SCALE-007</t>
  </si>
  <si>
    <t>SCALE-008</t>
  </si>
  <si>
    <t>SCALE-009</t>
  </si>
  <si>
    <t>BT-003 Премия за маржу от продажи сервисных услуг</t>
  </si>
  <si>
    <t>SCALE-010</t>
  </si>
  <si>
    <t>% выполнения</t>
  </si>
  <si>
    <t>SCALE-011</t>
  </si>
  <si>
    <t>SCALE-012</t>
  </si>
  <si>
    <t>BT-004 Премия за КВ от продажи финансовых услуг</t>
  </si>
  <si>
    <t>SCALE-013</t>
  </si>
  <si>
    <t>SCALE-014</t>
  </si>
  <si>
    <t>ДЦ Север</t>
  </si>
  <si>
    <t>Продажи новых АМ</t>
  </si>
  <si>
    <t>Отдел продаж новых АМ</t>
  </si>
  <si>
    <t>Haval</t>
  </si>
  <si>
    <t>Chery</t>
  </si>
  <si>
    <t>Финансовые услуги</t>
  </si>
  <si>
    <t>Отдел кредитования и страхования</t>
  </si>
  <si>
    <t>ЛюбаяМарка</t>
  </si>
  <si>
    <t>Козлова Мария Андреевна</t>
  </si>
  <si>
    <t>Сервис</t>
  </si>
  <si>
    <t>Сервисный центр</t>
  </si>
  <si>
    <t>Новиков Дмитрий Сергеевич</t>
  </si>
  <si>
    <t>ДЦ Юг</t>
  </si>
  <si>
    <t>Geely</t>
  </si>
  <si>
    <t>ДЦ Запад</t>
  </si>
  <si>
    <t>календар_период</t>
  </si>
  <si>
    <t>Q1 2026</t>
  </si>
  <si>
    <t>Q2 2026</t>
  </si>
  <si>
    <t>Q4 2026</t>
  </si>
  <si>
    <t>строка_ПОТ</t>
  </si>
  <si>
    <t>код_шкалы</t>
  </si>
  <si>
    <t>премия_руб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</si>
</sst>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9"/>
      <color rgb="FF808080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C0F0"/>
        <bgColor indexed="64"/>
      </patternFill>
    </fill>
    <fill>
      <patternFill patternType="solid">
        <fgColor rgb="FF805D4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/>
    <xf numFmtId="0" fontId="5" fillId="5" borderId="0" xfId="0" applyFont="1" applyFill="1"/>
    <xf numFmtId="0" fontId="1" fillId="0" borderId="0" xfId="0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1"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>
    <tabColor rgb="FF805D46"/>
  </sheetPr>
  <dimension ref="A1:R50"/>
  <sheetViews>
    <sheetView tabSelected="1" workbookViewId="0">
      <selection activeCell="C21" sqref="C21"/>
    </sheetView>
  </sheetViews>
  <sheetFormatPr defaultRowHeight="14.4" x14ac:dyDescent="0.3"/>
  <cols>
    <col min="1" max="1" width="11.88671875" customWidth="1"/>
    <col min="2" max="2" width="26.33203125" customWidth="1"/>
    <col min="3" max="3" width="9.44140625" customWidth="1"/>
    <col min="4" max="4" width="10.6640625" customWidth="1"/>
    <col min="5" max="5" width="19" customWidth="1"/>
    <col min="6" max="6" width="25" customWidth="1"/>
    <col min="7" max="7" width="33.33203125" customWidth="1"/>
    <col min="8" max="8" width="10.21875" customWidth="1"/>
    <col min="9" max="9" width="50" customWidth="1"/>
    <col min="10" max="10" width="32.33203125" customWidth="1"/>
    <col min="11" max="11" width="9.6640625" customWidth="1"/>
    <col min="12" max="12" width="25.109375" customWidth="1"/>
    <col min="13" max="13" width="59.44140625" customWidth="1"/>
    <col min="14" max="14" width="9.6640625" customWidth="1"/>
    <col min="15" max="15" width="25.109375" customWidth="1"/>
    <col min="16" max="16" width="13" hidden="1" customWidth="1"/>
    <col min="17" max="17" width="25.109375" customWidth="1"/>
    <col min="18" max="18" width="22.44140625" hidden="1" customWidth="1"/>
    <col min="19" max="19" width="30.44140625" customWidth="1"/>
  </cols>
  <sheetData>
    <row r="1" spans="1:18" x14ac:dyDescent="0.3">
      <c r="A1" s="1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9</v>
      </c>
      <c r="K1" s="7" t="s">
        <v>10</v>
      </c>
      <c r="L1" s="8" t="s">
        <v>11</v>
      </c>
      <c r="M1" s="7" t="s">
        <v>12</v>
      </c>
      <c r="N1" s="7" t="s">
        <v>13</v>
      </c>
      <c r="O1" s="8" t="s">
        <v>14</v>
      </c>
      <c r="P1" s="7" t="s">
        <v>15</v>
      </c>
      <c r="Q1" s="4" t="s">
        <v>16</v>
      </c>
      <c r="R1" t="s">
        <v>17</v>
      </c>
    </row>
    <row r="2" spans="1:18" x14ac:dyDescent="0.3">
      <c r="A2" s="10">
        <v>46266</v>
      </c>
      <c r="B2" s="1" t="s">
        <v>18</v>
      </c>
      <c r="C2" s="1">
        <f>IF(ISBLANK(B2),"",IFERROR(_xlfn.XLOOKUP(B2,Справ_Сотрудников!$B:$B,Справ_Сотрудников!$A:$A),""))</f>
        <v>10001</v>
      </c>
      <c r="D2" t="str">
        <f>IF(ISBLANK(B2),"",IFERROR(_xlfn.XLOOKUP(B2,Справ_Сотрудников!$B:$B,Справ_Сотрудников!$C:$C),""))</f>
        <v>ДЦ Север</v>
      </c>
      <c r="E2" t="str">
        <f>IF(ISBLANK(B2),"",IFERROR(_xlfn.XLOOKUP(B2,Справ_Сотрудников!$B:$B,Справ_Сотрудников!$D:$D),""))</f>
        <v>Продажи новых АМ</v>
      </c>
      <c r="F2" t="str">
        <f>IF(ISBLANK(B2),"",IFERROR(_xlfn.XLOOKUP(B2,Справ_Сотрудников!$B:$B,Справ_Сотрудников!$E:$E),""))</f>
        <v>Отдел продаж новых АМ</v>
      </c>
      <c r="G2" t="str">
        <f>IF(ISBLANK(B2),"",IFERROR(_xlfn.XLOOKUP(B2,Справ_Сотрудников!$B:$B,Справ_Сотрудников!$F:$F),""))</f>
        <v>Менеджер по продажам новых АМ</v>
      </c>
      <c r="H2" t="str">
        <f>IF(ISBLANK(B2),"",IFERROR(_xlfn.XLOOKUP(B2,Справ_Сотрудников!$B:$B,Справ_Сотрудников!$G:$G),""))</f>
        <v>Haval</v>
      </c>
      <c r="I2" t="s">
        <v>19</v>
      </c>
      <c r="J2" t="str">
        <f>IF(ISBLANK(I2),"",IFERROR(_xlfn.XLOOKUP(I2,Справ_ВидыПремий!$B:$B,Справ_ВидыПремий!$E:$E)&amp;"",""))</f>
        <v>Кол-во проданных автомобилей</v>
      </c>
      <c r="K2" t="str">
        <f>IF(ISBLANK(I2),"",IFERROR(_xlfn.XLOOKUP(I2,Справ_ВидыПремий!$B:$B,Справ_ВидыПремий!$F:$F)&amp;"",""))</f>
        <v>ед.</v>
      </c>
      <c r="L2">
        <v>10</v>
      </c>
      <c r="M2" t="str">
        <f>IF(ISBLANK(I2),"",IFERROR(_xlfn.XLOOKUP(I2,Справ_ВидыПремий!$B:$B,Справ_ВидыПремий!$G:$G)&amp;"",""))</f>
        <v/>
      </c>
      <c r="N2" t="str">
        <f>IF(ISBLANK(I2),"",IFERROR(_xlfn.XLOOKUP(I2,Справ_ВидыПремий!$B:$B,Справ_ВидыПремий!$H:$H)&amp;"",""))</f>
        <v/>
      </c>
      <c r="P2" t="str">
        <f>IF(ISBLANK(A2),"",IFERROR(_xlfn.XLOOKUP(A2,Периоды!$A:$A,Периоды!$B:$B),""))</f>
        <v>ЕЖЕМЕСЯЧНО</v>
      </c>
      <c r="Q2">
        <f t="shared" ref="Q2:Q33" ca="1" si="0">IF(OR(ISBLANK(I2),R2="",ISBLANK(L2)),"",ROUND(IF(IFERROR(_xlfn.XLOOKUP(L2,INDIRECT("'"&amp;R2&amp;"'!$C:$C"),INDIRECT("'"&amp;R2&amp;"'!$G:$G"),"",-1),"")="% выполнения",L2/100,IFERROR(_xlfn.XLOOKUP(L2,INDIRECT("'"&amp;R2&amp;"'!$C:$C"),INDIRECT("'"&amp;R2&amp;"'!$E:$E"),0,-1),0))*IF(ISBLANK(O2),L2,O2)+IFERROR(_xlfn.XLOOKUP(L2,INDIRECT("'"&amp;R2&amp;"'!$C:$C"),INDIRECT("'"&amp;R2&amp;"'!$F:$F"),0,-1),0),2))</f>
        <v>150000</v>
      </c>
      <c r="R2" t="str">
        <f>IF(ISBLANK(I2),"",IFERROR(_xlfn.XLOOKUP(I2,Справ_ВидыПремий!$B:$B,Справ_ВидыПремий!$I:$I),""))</f>
        <v>BT-001_Премия_КолвоАМ</v>
      </c>
    </row>
    <row r="3" spans="1:18" x14ac:dyDescent="0.3">
      <c r="A3" s="9" t="s">
        <v>20</v>
      </c>
      <c r="B3" s="1" t="s">
        <v>21</v>
      </c>
      <c r="C3" s="1">
        <f>IF(ISBLANK(B3),"",IFERROR(_xlfn.XLOOKUP(B3,Справ_Сотрудников!$B:$B,Справ_Сотрудников!$A:$A),""))</f>
        <v>10003</v>
      </c>
      <c r="D3" t="str">
        <f>IF(ISBLANK(B3),"",IFERROR(_xlfn.XLOOKUP(B3,Справ_Сотрудников!$B:$B,Справ_Сотрудников!$C:$C),""))</f>
        <v>ДЦ Север</v>
      </c>
      <c r="E3" t="str">
        <f>IF(ISBLANK(B3),"",IFERROR(_xlfn.XLOOKUP(B3,Справ_Сотрудников!$B:$B,Справ_Сотрудников!$D:$D),""))</f>
        <v>Финансовые услуги</v>
      </c>
      <c r="F3" t="str">
        <f>IF(ISBLANK(B3),"",IFERROR(_xlfn.XLOOKUP(B3,Справ_Сотрудников!$B:$B,Справ_Сотрудников!$E:$E),""))</f>
        <v>Отдел кредитования и страхования</v>
      </c>
      <c r="G3" t="str">
        <f>IF(ISBLANK(B3),"",IFERROR(_xlfn.XLOOKUP(B3,Справ_Сотрудников!$B:$B,Справ_Сотрудников!$F:$F),""))</f>
        <v>Менеджер по кредитованию и страхованию</v>
      </c>
      <c r="H3" t="str">
        <f>IF(ISBLANK(B3),"",IFERROR(_xlfn.XLOOKUP(B3,Справ_Сотрудников!$B:$B,Справ_Сотрудников!$G:$G),""))</f>
        <v>ЛюбаяМарка</v>
      </c>
      <c r="I3" t="s">
        <v>22</v>
      </c>
      <c r="J3" t="str">
        <f>IF(ISBLANK(I3),"",IFERROR(_xlfn.XLOOKUP(I3,Справ_ВидыПремий!$B:$B,Справ_ВидыПремий!$E:$E)&amp;"",""))</f>
        <v>% выполнения плана</v>
      </c>
      <c r="K3" t="str">
        <f>IF(ISBLANK(I3),"",IFERROR(_xlfn.XLOOKUP(I3,Справ_ВидыПремий!$B:$B,Справ_ВидыПремий!$F:$F)&amp;"",""))</f>
        <v>%</v>
      </c>
      <c r="L3">
        <v>100</v>
      </c>
      <c r="M3" t="str">
        <f>IF(ISBLANK(I3),"",IFERROR(_xlfn.XLOOKUP(I3,Справ_ВидыПремий!$B:$B,Справ_ВидыПремий!$G:$G)&amp;"",""))</f>
        <v>Плановое значение премии за КВ от продажи финансовых услуг</v>
      </c>
      <c r="N3" t="str">
        <f>IF(ISBLANK(I3),"",IFERROR(_xlfn.XLOOKUP(I3,Справ_ВидыПремий!$B:$B,Справ_ВидыПремий!$H:$H)&amp;"",""))</f>
        <v>руб.</v>
      </c>
      <c r="O3">
        <v>50000</v>
      </c>
      <c r="P3" t="str">
        <f>IF(ISBLANK(A3),"",IFERROR(_xlfn.XLOOKUP(A3,Периоды!$A:$A,Периоды!$B:$B),""))</f>
        <v>ЕЖЕКВАРТАЛЬНО</v>
      </c>
      <c r="Q3">
        <f t="shared" ca="1" si="0"/>
        <v>50000</v>
      </c>
      <c r="R3" t="str">
        <f>IF(ISBLANK(I3),"",IFERROR(_xlfn.XLOOKUP(I3,Справ_ВидыПремий!$B:$B,Справ_ВидыПремий!$I:$I),""))</f>
        <v>BT-004_Премия_КВФин</v>
      </c>
    </row>
    <row r="4" spans="1:18" x14ac:dyDescent="0.3">
      <c r="A4" s="9" t="s">
        <v>20</v>
      </c>
      <c r="B4" s="1" t="s">
        <v>21</v>
      </c>
      <c r="C4" s="1">
        <f>IF(ISBLANK(B4),"",IFERROR(_xlfn.XLOOKUP(B4,Справ_Сотрудников!$B:$B,Справ_Сотрудников!$A:$A),""))</f>
        <v>10003</v>
      </c>
      <c r="D4" t="str">
        <f>IF(ISBLANK(B4),"",IFERROR(_xlfn.XLOOKUP(B4,Справ_Сотрудников!$B:$B,Справ_Сотрудников!$C:$C),""))</f>
        <v>ДЦ Север</v>
      </c>
      <c r="E4" t="str">
        <f>IF(ISBLANK(B4),"",IFERROR(_xlfn.XLOOKUP(B4,Справ_Сотрудников!$B:$B,Справ_Сотрудников!$D:$D),""))</f>
        <v>Финансовые услуги</v>
      </c>
      <c r="F4" t="str">
        <f>IF(ISBLANK(B4),"",IFERROR(_xlfn.XLOOKUP(B4,Справ_Сотрудников!$B:$B,Справ_Сотрудников!$E:$E),""))</f>
        <v>Отдел кредитования и страхования</v>
      </c>
      <c r="G4" t="str">
        <f>IF(ISBLANK(B4),"",IFERROR(_xlfn.XLOOKUP(B4,Справ_Сотрудников!$B:$B,Справ_Сотрудников!$F:$F),""))</f>
        <v>Менеджер по кредитованию и страхованию</v>
      </c>
      <c r="H4" t="str">
        <f>IF(ISBLANK(B4),"",IFERROR(_xlfn.XLOOKUP(B4,Справ_Сотрудников!$B:$B,Справ_Сотрудников!$G:$G),""))</f>
        <v>ЛюбаяМарка</v>
      </c>
      <c r="I4" t="s">
        <v>22</v>
      </c>
      <c r="J4" t="str">
        <f>IF(ISBLANK(I4),"",IFERROR(_xlfn.XLOOKUP(I4,Справ_ВидыПремий!$B:$B,Справ_ВидыПремий!$E:$E)&amp;"",""))</f>
        <v>% выполнения плана</v>
      </c>
      <c r="K4" t="str">
        <f>IF(ISBLANK(I4),"",IFERROR(_xlfn.XLOOKUP(I4,Справ_ВидыПремий!$B:$B,Справ_ВидыПремий!$F:$F)&amp;"",""))</f>
        <v>%</v>
      </c>
      <c r="L4">
        <v>120</v>
      </c>
      <c r="M4" t="str">
        <f>IF(ISBLANK(I4),"",IFERROR(_xlfn.XLOOKUP(I4,Справ_ВидыПремий!$B:$B,Справ_ВидыПремий!$G:$G)&amp;"",""))</f>
        <v>Плановое значение премии за КВ от продажи финансовых услуг</v>
      </c>
      <c r="N4" t="str">
        <f>IF(ISBLANK(I4),"",IFERROR(_xlfn.XLOOKUP(I4,Справ_ВидыПремий!$B:$B,Справ_ВидыПремий!$H:$H)&amp;"",""))</f>
        <v>руб.</v>
      </c>
      <c r="O4">
        <v>50000</v>
      </c>
      <c r="P4" t="str">
        <f>IF(ISBLANK(A4),"",IFERROR(_xlfn.XLOOKUP(A4,Периоды!$A:$A,Периоды!$B:$B),""))</f>
        <v>ЕЖЕКВАРТАЛЬНО</v>
      </c>
      <c r="Q4">
        <f t="shared" ca="1" si="0"/>
        <v>60000</v>
      </c>
      <c r="R4" t="str">
        <f>IF(ISBLANK(I4),"",IFERROR(_xlfn.XLOOKUP(I4,Справ_ВидыПремий!$B:$B,Справ_ВидыПремий!$I:$I),""))</f>
        <v>BT-004_Премия_КВФин</v>
      </c>
    </row>
    <row r="5" spans="1:18" x14ac:dyDescent="0.3">
      <c r="A5" s="9" t="s">
        <v>20</v>
      </c>
      <c r="B5" s="1" t="s">
        <v>23</v>
      </c>
      <c r="C5" s="1">
        <f>IF(ISBLANK(B5),"",IFERROR(_xlfn.XLOOKUP(B5,Справ_Сотрудников!$B:$B,Справ_Сотрудников!$A:$A),""))</f>
        <v>10007</v>
      </c>
      <c r="D5" t="str">
        <f>IF(ISBLANK(B5),"",IFERROR(_xlfn.XLOOKUP(B5,Справ_Сотрудников!$B:$B,Справ_Сотрудников!$C:$C),""))</f>
        <v>ДЦ Запад</v>
      </c>
      <c r="E5" t="str">
        <f>IF(ISBLANK(B5),"",IFERROR(_xlfn.XLOOKUP(B5,Справ_Сотрудников!$B:$B,Справ_Сотрудников!$D:$D),""))</f>
        <v>Финансовые услуги</v>
      </c>
      <c r="F5" t="str">
        <f>IF(ISBLANK(B5),"",IFERROR(_xlfn.XLOOKUP(B5,Справ_Сотрудников!$B:$B,Справ_Сотрудников!$E:$E),""))</f>
        <v>Отдел кредитования и страхования</v>
      </c>
      <c r="G5" t="str">
        <f>IF(ISBLANK(B5),"",IFERROR(_xlfn.XLOOKUP(B5,Справ_Сотрудников!$B:$B,Справ_Сотрудников!$F:$F),""))</f>
        <v>Менеджер по кредитованию и страхованию</v>
      </c>
      <c r="H5" t="str">
        <f>IF(ISBLANK(B5),"",IFERROR(_xlfn.XLOOKUP(B5,Справ_Сотрудников!$B:$B,Справ_Сотрудников!$G:$G),""))</f>
        <v>ЛюбаяМарка</v>
      </c>
      <c r="I5" t="s">
        <v>22</v>
      </c>
      <c r="J5" t="str">
        <f>IF(ISBLANK(I5),"",IFERROR(_xlfn.XLOOKUP(I5,Справ_ВидыПремий!$B:$B,Справ_ВидыПремий!$E:$E)&amp;"",""))</f>
        <v>% выполнения плана</v>
      </c>
      <c r="K5" t="str">
        <f>IF(ISBLANK(I5),"",IFERROR(_xlfn.XLOOKUP(I5,Справ_ВидыПремий!$B:$B,Справ_ВидыПремий!$F:$F)&amp;"",""))</f>
        <v>%</v>
      </c>
      <c r="L5">
        <v>76</v>
      </c>
      <c r="M5" t="str">
        <f>IF(ISBLANK(I5),"",IFERROR(_xlfn.XLOOKUP(I5,Справ_ВидыПремий!$B:$B,Справ_ВидыПремий!$G:$G)&amp;"",""))</f>
        <v>Плановое значение премии за КВ от продажи финансовых услуг</v>
      </c>
      <c r="N5" t="str">
        <f>IF(ISBLANK(I5),"",IFERROR(_xlfn.XLOOKUP(I5,Справ_ВидыПремий!$B:$B,Справ_ВидыПремий!$H:$H)&amp;"",""))</f>
        <v>руб.</v>
      </c>
      <c r="O5">
        <v>50000</v>
      </c>
      <c r="P5" t="str">
        <f>IF(ISBLANK(A5),"",IFERROR(_xlfn.XLOOKUP(A5,Периоды!$A:$A,Периоды!$B:$B),""))</f>
        <v>ЕЖЕКВАРТАЛЬНО</v>
      </c>
      <c r="Q5">
        <f t="shared" ca="1" si="0"/>
        <v>25000</v>
      </c>
      <c r="R5" t="str">
        <f>IF(ISBLANK(I5),"",IFERROR(_xlfn.XLOOKUP(I5,Справ_ВидыПремий!$B:$B,Справ_ВидыПремий!$I:$I),""))</f>
        <v>BT-004_Премия_КВФин</v>
      </c>
    </row>
    <row r="6" spans="1:18" x14ac:dyDescent="0.3">
      <c r="A6" s="11">
        <v>46327</v>
      </c>
      <c r="B6" t="s">
        <v>24</v>
      </c>
      <c r="C6">
        <f>IF(ISBLANK(B6),"",IFERROR(_xlfn.XLOOKUP(B6,Справ_Сотрудников!$B:$B,Справ_Сотрудников!$A:$A),""))</f>
        <v>10002</v>
      </c>
      <c r="D6" t="str">
        <f>IF(ISBLANK(B6),"",IFERROR(_xlfn.XLOOKUP(B6,Справ_Сотрудников!$B:$B,Справ_Сотрудников!$C:$C),""))</f>
        <v>ДЦ Север</v>
      </c>
      <c r="E6" t="str">
        <f>IF(ISBLANK(B6),"",IFERROR(_xlfn.XLOOKUP(B6,Справ_Сотрудников!$B:$B,Справ_Сотрудников!$D:$D),""))</f>
        <v>Продажи новых АМ</v>
      </c>
      <c r="F6" t="str">
        <f>IF(ISBLANK(B6),"",IFERROR(_xlfn.XLOOKUP(B6,Справ_Сотрудников!$B:$B,Справ_Сотрудников!$E:$E),""))</f>
        <v>Отдел продаж новых АМ</v>
      </c>
      <c r="G6" t="str">
        <f>IF(ISBLANK(B6),"",IFERROR(_xlfn.XLOOKUP(B6,Справ_Сотрудников!$B:$B,Справ_Сотрудников!$F:$F),""))</f>
        <v>Менеджер по продажам новых АМ</v>
      </c>
      <c r="H6" t="str">
        <f>IF(ISBLANK(B6),"",IFERROR(_xlfn.XLOOKUP(B6,Справ_Сотрудников!$B:$B,Справ_Сотрудников!$G:$G),""))</f>
        <v>Chery</v>
      </c>
      <c r="I6" t="s">
        <v>19</v>
      </c>
      <c r="J6" t="str">
        <f>IF(ISBLANK(I6),"",IFERROR(_xlfn.XLOOKUP(I6,Справ_ВидыПремий!$B:$B,Справ_ВидыПремий!$E:$E)&amp;"",""))</f>
        <v>Кол-во проданных автомобилей</v>
      </c>
      <c r="K6" t="str">
        <f>IF(ISBLANK(I6),"",IFERROR(_xlfn.XLOOKUP(I6,Справ_ВидыПремий!$B:$B,Справ_ВидыПремий!$F:$F)&amp;"",""))</f>
        <v>ед.</v>
      </c>
      <c r="L6">
        <v>30</v>
      </c>
      <c r="M6" t="str">
        <f>IF(ISBLANK(I6),"",IFERROR(_xlfn.XLOOKUP(I6,Справ_ВидыПремий!$B:$B,Справ_ВидыПремий!$G:$G)&amp;"",""))</f>
        <v/>
      </c>
      <c r="N6" t="str">
        <f>IF(ISBLANK(I6),"",IFERROR(_xlfn.XLOOKUP(I6,Справ_ВидыПремий!$B:$B,Справ_ВидыПремий!$H:$H)&amp;"",""))</f>
        <v/>
      </c>
      <c r="P6" t="str">
        <f>IF(ISBLANK(A6),"",IFERROR(_xlfn.XLOOKUP(A6,Периоды!$A:$A,Периоды!$B:$B),""))</f>
        <v>ЕЖЕМЕСЯЧНО</v>
      </c>
      <c r="Q6">
        <f t="shared" ca="1" si="0"/>
        <v>510000</v>
      </c>
      <c r="R6" t="str">
        <f>IF(ISBLANK(I6),"",IFERROR(_xlfn.XLOOKUP(I6,Справ_ВидыПремий!$B:$B,Справ_ВидыПремий!$I:$I),""))</f>
        <v>BT-001_Премия_КолвоАМ</v>
      </c>
    </row>
    <row r="7" spans="1:18" x14ac:dyDescent="0.3">
      <c r="A7" s="11">
        <v>46357</v>
      </c>
      <c r="B7" t="s">
        <v>25</v>
      </c>
      <c r="C7">
        <f>IF(ISBLANK(B7),"",IFERROR(_xlfn.XLOOKUP(B7,Справ_Сотрудников!$B:$B,Справ_Сотрудников!$A:$A),""))</f>
        <v>10006</v>
      </c>
      <c r="D7" t="str">
        <f>IF(ISBLANK(B7),"",IFERROR(_xlfn.XLOOKUP(B7,Справ_Сотрудников!$B:$B,Справ_Сотрудников!$C:$C),""))</f>
        <v>ДЦ Юг</v>
      </c>
      <c r="E7" t="str">
        <f>IF(ISBLANK(B7),"",IFERROR(_xlfn.XLOOKUP(B7,Справ_Сотрудников!$B:$B,Справ_Сотрудников!$D:$D),""))</f>
        <v>Сервис</v>
      </c>
      <c r="F7" t="str">
        <f>IF(ISBLANK(B7),"",IFERROR(_xlfn.XLOOKUP(B7,Справ_Сотрудников!$B:$B,Справ_Сотрудников!$E:$E),""))</f>
        <v>Сервисный центр</v>
      </c>
      <c r="G7" t="str">
        <f>IF(ISBLANK(B7),"",IFERROR(_xlfn.XLOOKUP(B7,Справ_Сотрудников!$B:$B,Справ_Сотрудников!$F:$F),""))</f>
        <v>Мастер-консультант</v>
      </c>
      <c r="H7" t="str">
        <f>IF(ISBLANK(B7),"",IFERROR(_xlfn.XLOOKUP(B7,Справ_Сотрудников!$B:$B,Справ_Сотрудников!$G:$G),""))</f>
        <v>ЛюбаяМарка</v>
      </c>
      <c r="I7" t="s">
        <v>26</v>
      </c>
      <c r="J7" t="str">
        <f>IF(ISBLANK(I7),"",IFERROR(_xlfn.XLOOKUP(I7,Справ_ВидыПремий!$B:$B,Справ_ВидыПремий!$E:$E)&amp;"",""))</f>
        <v>% выполнения плана</v>
      </c>
      <c r="K7" t="str">
        <f>IF(ISBLANK(I7),"",IFERROR(_xlfn.XLOOKUP(I7,Справ_ВидыПремий!$B:$B,Справ_ВидыПремий!$F:$F)&amp;"",""))</f>
        <v>%</v>
      </c>
      <c r="L7">
        <v>140</v>
      </c>
      <c r="M7" t="str">
        <f>IF(ISBLANK(I7),"",IFERROR(_xlfn.XLOOKUP(I7,Справ_ВидыПремий!$B:$B,Справ_ВидыПремий!$G:$G)&amp;"",""))</f>
        <v>Маржа от продажи сервисных услуг</v>
      </c>
      <c r="N7" t="str">
        <f>IF(ISBLANK(I7),"",IFERROR(_xlfn.XLOOKUP(I7,Справ_ВидыПремий!$B:$B,Справ_ВидыПремий!$H:$H)&amp;"",""))</f>
        <v>руб.</v>
      </c>
      <c r="O7">
        <v>800000</v>
      </c>
      <c r="P7" t="str">
        <f>IF(ISBLANK(A7),"",IFERROR(_xlfn.XLOOKUP(A7,Периоды!$A:$A,Периоды!$B:$B),""))</f>
        <v>ЕЖЕМЕСЯЧНО</v>
      </c>
      <c r="Q7">
        <f t="shared" ca="1" si="0"/>
        <v>960000</v>
      </c>
      <c r="R7" t="str">
        <f>IF(ISBLANK(I7),"",IFERROR(_xlfn.XLOOKUP(I7,Справ_ВидыПремий!$B:$B,Справ_ВидыПремий!$I:$I),""))</f>
        <v>BT-003_Премия_МаржаСервис</v>
      </c>
    </row>
    <row r="8" spans="1:18" x14ac:dyDescent="0.3">
      <c r="A8" s="11">
        <v>46296</v>
      </c>
      <c r="B8" t="s">
        <v>18</v>
      </c>
      <c r="C8">
        <f>IF(ISBLANK(B8),"",IFERROR(_xlfn.XLOOKUP(B8,Справ_Сотрудников!$B:$B,Справ_Сотрудников!$A:$A),""))</f>
        <v>10001</v>
      </c>
      <c r="D8" t="str">
        <f>IF(ISBLANK(B8),"",IFERROR(_xlfn.XLOOKUP(B8,Справ_Сотрудников!$B:$B,Справ_Сотрудников!$C:$C),""))</f>
        <v>ДЦ Север</v>
      </c>
      <c r="E8" t="str">
        <f>IF(ISBLANK(B8),"",IFERROR(_xlfn.XLOOKUP(B8,Справ_Сотрудников!$B:$B,Справ_Сотрудников!$D:$D),""))</f>
        <v>Продажи новых АМ</v>
      </c>
      <c r="F8" t="str">
        <f>IF(ISBLANK(B8),"",IFERROR(_xlfn.XLOOKUP(B8,Справ_Сотрудников!$B:$B,Справ_Сотрудников!$E:$E),""))</f>
        <v>Отдел продаж новых АМ</v>
      </c>
      <c r="G8" t="str">
        <f>IF(ISBLANK(B8),"",IFERROR(_xlfn.XLOOKUP(B8,Справ_Сотрудников!$B:$B,Справ_Сотрудников!$F:$F),""))</f>
        <v>Менеджер по продажам новых АМ</v>
      </c>
      <c r="H8" t="str">
        <f>IF(ISBLANK(B8),"",IFERROR(_xlfn.XLOOKUP(B8,Справ_Сотрудников!$B:$B,Справ_Сотрудников!$G:$G),""))</f>
        <v>Haval</v>
      </c>
      <c r="I8" t="s">
        <v>27</v>
      </c>
      <c r="J8" t="str">
        <f>IF(ISBLANK(I8),"",IFERROR(_xlfn.XLOOKUP(I8,Справ_ВидыПремий!$B:$B,Справ_ВидыПремий!$E:$E)&amp;"",""))</f>
        <v>Кол-во проданных автомобилей</v>
      </c>
      <c r="K8" t="str">
        <f>IF(ISBLANK(I8),"",IFERROR(_xlfn.XLOOKUP(I8,Справ_ВидыПремий!$B:$B,Справ_ВидыПремий!$F:$F)&amp;"",""))</f>
        <v>ед.</v>
      </c>
      <c r="L8">
        <v>12</v>
      </c>
      <c r="M8" t="str">
        <f>IF(ISBLANK(I8),"",IFERROR(_xlfn.XLOOKUP(I8,Справ_ВидыПремий!$B:$B,Справ_ВидыПремий!$G:$G)&amp;"",""))</f>
        <v>Кумулятивная маржа при продаже нового АМ</v>
      </c>
      <c r="N8" t="str">
        <f>IF(ISBLANK(I8),"",IFERROR(_xlfn.XLOOKUP(I8,Справ_ВидыПремий!$B:$B,Справ_ВидыПремий!$H:$H)&amp;"",""))</f>
        <v>руб.</v>
      </c>
      <c r="O8">
        <v>12000000</v>
      </c>
      <c r="P8" t="str">
        <f>IF(ISBLANK(A8),"",IFERROR(_xlfn.XLOOKUP(A8,Периоды!$A:$A,Периоды!$B:$B),""))</f>
        <v>ЕЖЕМЕСЯЧНО</v>
      </c>
      <c r="Q8">
        <f t="shared" ca="1" si="0"/>
        <v>480000</v>
      </c>
      <c r="R8" t="str">
        <f>IF(ISBLANK(I8),"",IFERROR(_xlfn.XLOOKUP(I8,Справ_ВидыПремий!$B:$B,Справ_ВидыПремий!$I:$I),""))</f>
        <v>BT-002_Премия_КумМаржа</v>
      </c>
    </row>
    <row r="9" spans="1:18" x14ac:dyDescent="0.3">
      <c r="A9" s="11" t="s">
        <v>20</v>
      </c>
      <c r="B9" t="s">
        <v>23</v>
      </c>
      <c r="C9">
        <f>IF(ISBLANK(B9),"",IFERROR(_xlfn.XLOOKUP(B9,Справ_Сотрудников!$B:$B,Справ_Сотрудников!$A:$A),""))</f>
        <v>10007</v>
      </c>
      <c r="D9" t="str">
        <f>IF(ISBLANK(B9),"",IFERROR(_xlfn.XLOOKUP(B9,Справ_Сотрудников!$B:$B,Справ_Сотрудников!$C:$C),""))</f>
        <v>ДЦ Запад</v>
      </c>
      <c r="E9" t="str">
        <f>IF(ISBLANK(B9),"",IFERROR(_xlfn.XLOOKUP(B9,Справ_Сотрудников!$B:$B,Справ_Сотрудников!$D:$D),""))</f>
        <v>Финансовые услуги</v>
      </c>
      <c r="F9" t="str">
        <f>IF(ISBLANK(B9),"",IFERROR(_xlfn.XLOOKUP(B9,Справ_Сотрудников!$B:$B,Справ_Сотрудников!$E:$E),""))</f>
        <v>Отдел кредитования и страхования</v>
      </c>
      <c r="G9" t="str">
        <f>IF(ISBLANK(B9),"",IFERROR(_xlfn.XLOOKUP(B9,Справ_Сотрудников!$B:$B,Справ_Сотрудников!$F:$F),""))</f>
        <v>Менеджер по кредитованию и страхованию</v>
      </c>
      <c r="H9" t="str">
        <f>IF(ISBLANK(B9),"",IFERROR(_xlfn.XLOOKUP(B9,Справ_Сотрудников!$B:$B,Справ_Сотрудников!$G:$G),""))</f>
        <v>ЛюбаяМарка</v>
      </c>
      <c r="I9" t="s">
        <v>22</v>
      </c>
      <c r="J9" t="str">
        <f>IF(ISBLANK(I9),"",IFERROR(_xlfn.XLOOKUP(I9,Справ_ВидыПремий!$B:$B,Справ_ВидыПремий!$E:$E)&amp;"",""))</f>
        <v>% выполнения плана</v>
      </c>
      <c r="K9" t="str">
        <f>IF(ISBLANK(I9),"",IFERROR(_xlfn.XLOOKUP(I9,Справ_ВидыПремий!$B:$B,Справ_ВидыПремий!$F:$F)&amp;"",""))</f>
        <v>%</v>
      </c>
      <c r="L9">
        <v>30</v>
      </c>
      <c r="M9" t="str">
        <f>IF(ISBLANK(I9),"",IFERROR(_xlfn.XLOOKUP(I9,Справ_ВидыПремий!$B:$B,Справ_ВидыПремий!$G:$G)&amp;"",""))</f>
        <v>Плановое значение премии за КВ от продажи финансовых услуг</v>
      </c>
      <c r="N9" t="str">
        <f>IF(ISBLANK(I9),"",IFERROR(_xlfn.XLOOKUP(I9,Справ_ВидыПремий!$B:$B,Справ_ВидыПремий!$H:$H)&amp;"",""))</f>
        <v>руб.</v>
      </c>
      <c r="O9">
        <v>1000000</v>
      </c>
      <c r="P9" t="str">
        <f>IF(ISBLANK(A9),"",IFERROR(_xlfn.XLOOKUP(A9,Периоды!$A:$A,Периоды!$B:$B),""))</f>
        <v>ЕЖЕКВАРТАЛЬНО</v>
      </c>
      <c r="Q9">
        <f t="shared" ca="1" si="0"/>
        <v>500000</v>
      </c>
      <c r="R9" t="str">
        <f>IF(ISBLANK(I9),"",IFERROR(_xlfn.XLOOKUP(I9,Справ_ВидыПремий!$B:$B,Справ_ВидыПремий!$I:$I),""))</f>
        <v>BT-004_Премия_КВФин</v>
      </c>
    </row>
    <row r="10" spans="1:18" x14ac:dyDescent="0.3">
      <c r="A10" s="11">
        <v>46357</v>
      </c>
      <c r="B10" t="s">
        <v>18</v>
      </c>
      <c r="C10">
        <f>IF(ISBLANK(B10),"",IFERROR(_xlfn.XLOOKUP(B10,Справ_Сотрудников!$B:$B,Справ_Сотрудников!$A:$A),""))</f>
        <v>10001</v>
      </c>
      <c r="D10" t="str">
        <f>IF(ISBLANK(B10),"",IFERROR(_xlfn.XLOOKUP(B10,Справ_Сотрудников!$B:$B,Справ_Сотрудников!$C:$C),""))</f>
        <v>ДЦ Север</v>
      </c>
      <c r="E10" t="str">
        <f>IF(ISBLANK(B10),"",IFERROR(_xlfn.XLOOKUP(B10,Справ_Сотрудников!$B:$B,Справ_Сотрудников!$D:$D),""))</f>
        <v>Продажи новых АМ</v>
      </c>
      <c r="F10" t="str">
        <f>IF(ISBLANK(B10),"",IFERROR(_xlfn.XLOOKUP(B10,Справ_Сотрудников!$B:$B,Справ_Сотрудников!$E:$E),""))</f>
        <v>Отдел продаж новых АМ</v>
      </c>
      <c r="G10" t="str">
        <f>IF(ISBLANK(B10),"",IFERROR(_xlfn.XLOOKUP(B10,Справ_Сотрудников!$B:$B,Справ_Сотрудников!$F:$F),""))</f>
        <v>Менеджер по продажам новых АМ</v>
      </c>
      <c r="H10" t="str">
        <f>IF(ISBLANK(B10),"",IFERROR(_xlfn.XLOOKUP(B10,Справ_Сотрудников!$B:$B,Справ_Сотрудников!$G:$G),""))</f>
        <v>Haval</v>
      </c>
      <c r="I10" t="s">
        <v>19</v>
      </c>
      <c r="J10" t="str">
        <f>IF(ISBLANK(I10),"",IFERROR(_xlfn.XLOOKUP(I10,Справ_ВидыПремий!$B:$B,Справ_ВидыПремий!$E:$E)&amp;"",""))</f>
        <v>Кол-во проданных автомобилей</v>
      </c>
      <c r="K10" t="str">
        <f>IF(ISBLANK(I10),"",IFERROR(_xlfn.XLOOKUP(I10,Справ_ВидыПремий!$B:$B,Справ_ВидыПремий!$F:$F)&amp;"",""))</f>
        <v>ед.</v>
      </c>
      <c r="L10">
        <v>45</v>
      </c>
      <c r="M10" t="str">
        <f>IF(ISBLANK(I10),"",IFERROR(_xlfn.XLOOKUP(I10,Справ_ВидыПремий!$B:$B,Справ_ВидыПремий!$G:$G)&amp;"",""))</f>
        <v/>
      </c>
      <c r="N10" t="str">
        <f>IF(ISBLANK(I10),"",IFERROR(_xlfn.XLOOKUP(I10,Справ_ВидыПремий!$B:$B,Справ_ВидыПремий!$H:$H)&amp;"",""))</f>
        <v/>
      </c>
      <c r="P10" t="str">
        <f>IF(ISBLANK(A10),"",IFERROR(_xlfn.XLOOKUP(A10,Периоды!$A:$A,Периоды!$B:$B),""))</f>
        <v>ЕЖЕМЕСЯЧНО</v>
      </c>
      <c r="Q10">
        <f t="shared" ca="1" si="0"/>
        <v>765000</v>
      </c>
      <c r="R10" t="str">
        <f>IF(ISBLANK(I10),"",IFERROR(_xlfn.XLOOKUP(I10,Справ_ВидыПремий!$B:$B,Справ_ВидыПремий!$I:$I),""))</f>
        <v>BT-001_Премия_КолвоАМ</v>
      </c>
    </row>
    <row r="11" spans="1:18" x14ac:dyDescent="0.3">
      <c r="A11" s="11"/>
      <c r="C11" t="str">
        <f>IF(ISBLANK(B11),"",IFERROR(_xlfn.XLOOKUP(B11,Справ_Сотрудников!$B:$B,Справ_Сотрудников!$A:$A),""))</f>
        <v/>
      </c>
      <c r="D11" t="str">
        <f>IF(ISBLANK(B11),"",IFERROR(_xlfn.XLOOKUP(B11,Справ_Сотрудников!$B:$B,Справ_Сотрудников!$C:$C),""))</f>
        <v/>
      </c>
      <c r="E11" t="str">
        <f>IF(ISBLANK(B11),"",IFERROR(_xlfn.XLOOKUP(B11,Справ_Сотрудников!$B:$B,Справ_Сотрудников!$D:$D),""))</f>
        <v/>
      </c>
      <c r="F11" t="str">
        <f>IF(ISBLANK(B11),"",IFERROR(_xlfn.XLOOKUP(B11,Справ_Сотрудников!$B:$B,Справ_Сотрудников!$E:$E),""))</f>
        <v/>
      </c>
      <c r="G11" t="str">
        <f>IF(ISBLANK(B11),"",IFERROR(_xlfn.XLOOKUP(B11,Справ_Сотрудников!$B:$B,Справ_Сотрудников!$F:$F),""))</f>
        <v/>
      </c>
      <c r="H11" t="str">
        <f>IF(ISBLANK(B11),"",IFERROR(_xlfn.XLOOKUP(B11,Справ_Сотрудников!$B:$B,Справ_Сотрудников!$G:$G),""))</f>
        <v/>
      </c>
      <c r="J11" t="str">
        <f>IF(ISBLANK(I11),"",IFERROR(_xlfn.XLOOKUP(I11,Справ_ВидыПремий!$B:$B,Справ_ВидыПремий!$E:$E)&amp;"",""))</f>
        <v/>
      </c>
      <c r="K11" t="str">
        <f>IF(ISBLANK(I11),"",IFERROR(_xlfn.XLOOKUP(I11,Справ_ВидыПремий!$B:$B,Справ_ВидыПремий!$F:$F)&amp;"",""))</f>
        <v/>
      </c>
      <c r="M11" t="str">
        <f>IF(ISBLANK(I11),"",IFERROR(_xlfn.XLOOKUP(I11,Справ_ВидыПремий!$B:$B,Справ_ВидыПремий!$G:$G)&amp;"",""))</f>
        <v/>
      </c>
      <c r="N11" t="str">
        <f>IF(ISBLANK(I11),"",IFERROR(_xlfn.XLOOKUP(I11,Справ_ВидыПремий!$B:$B,Справ_ВидыПремий!$H:$H)&amp;"",""))</f>
        <v/>
      </c>
      <c r="P11" t="str">
        <f>IF(ISBLANK(A11),"",IFERROR(_xlfn.XLOOKUP(A11,Периоды!$A:$A,Периоды!$B:$B),""))</f>
        <v/>
      </c>
      <c r="Q11" t="str">
        <f t="shared" ca="1" si="0"/>
        <v/>
      </c>
      <c r="R11" t="str">
        <f>IF(ISBLANK(I11),"",IFERROR(_xlfn.XLOOKUP(I11,Справ_ВидыПремий!$B:$B,Справ_ВидыПремий!$I:$I),""))</f>
        <v/>
      </c>
    </row>
    <row r="12" spans="1:18" x14ac:dyDescent="0.3">
      <c r="A12" s="11"/>
      <c r="C12" t="str">
        <f>IF(ISBLANK(B12),"",IFERROR(_xlfn.XLOOKUP(B12,Справ_Сотрудников!$B:$B,Справ_Сотрудников!$A:$A),""))</f>
        <v/>
      </c>
      <c r="D12" t="str">
        <f>IF(ISBLANK(B12),"",IFERROR(_xlfn.XLOOKUP(B12,Справ_Сотрудников!$B:$B,Справ_Сотрудников!$C:$C),""))</f>
        <v/>
      </c>
      <c r="E12" t="str">
        <f>IF(ISBLANK(B12),"",IFERROR(_xlfn.XLOOKUP(B12,Справ_Сотрудников!$B:$B,Справ_Сотрудников!$D:$D),""))</f>
        <v/>
      </c>
      <c r="F12" t="str">
        <f>IF(ISBLANK(B12),"",IFERROR(_xlfn.XLOOKUP(B12,Справ_Сотрудников!$B:$B,Справ_Сотрудников!$E:$E),""))</f>
        <v/>
      </c>
      <c r="G12" t="str">
        <f>IF(ISBLANK(B12),"",IFERROR(_xlfn.XLOOKUP(B12,Справ_Сотрудников!$B:$B,Справ_Сотрудников!$F:$F),""))</f>
        <v/>
      </c>
      <c r="H12" t="str">
        <f>IF(ISBLANK(B12),"",IFERROR(_xlfn.XLOOKUP(B12,Справ_Сотрудников!$B:$B,Справ_Сотрудников!$G:$G),""))</f>
        <v/>
      </c>
      <c r="J12" t="str">
        <f>IF(ISBLANK(I12),"",IFERROR(_xlfn.XLOOKUP(I12,Справ_ВидыПремий!$B:$B,Справ_ВидыПремий!$E:$E)&amp;"",""))</f>
        <v/>
      </c>
      <c r="K12" t="str">
        <f>IF(ISBLANK(I12),"",IFERROR(_xlfn.XLOOKUP(I12,Справ_ВидыПремий!$B:$B,Справ_ВидыПремий!$F:$F)&amp;"",""))</f>
        <v/>
      </c>
      <c r="M12" t="str">
        <f>IF(ISBLANK(I12),"",IFERROR(_xlfn.XLOOKUP(I12,Справ_ВидыПремий!$B:$B,Справ_ВидыПремий!$G:$G)&amp;"",""))</f>
        <v/>
      </c>
      <c r="N12" t="str">
        <f>IF(ISBLANK(I12),"",IFERROR(_xlfn.XLOOKUP(I12,Справ_ВидыПремий!$B:$B,Справ_ВидыПремий!$H:$H)&amp;"",""))</f>
        <v/>
      </c>
      <c r="P12" t="str">
        <f>IF(ISBLANK(A12),"",IFERROR(_xlfn.XLOOKUP(A12,Периоды!$A:$A,Периоды!$B:$B),""))</f>
        <v/>
      </c>
      <c r="Q12" t="str">
        <f t="shared" ca="1" si="0"/>
        <v/>
      </c>
      <c r="R12" t="str">
        <f>IF(ISBLANK(I12),"",IFERROR(_xlfn.XLOOKUP(I12,Справ_ВидыПремий!$B:$B,Справ_ВидыПремий!$I:$I),""))</f>
        <v/>
      </c>
    </row>
    <row r="13" spans="1:18" x14ac:dyDescent="0.3">
      <c r="A13" s="11"/>
      <c r="C13" t="str">
        <f>IF(ISBLANK(B13),"",IFERROR(_xlfn.XLOOKUP(B13,Справ_Сотрудников!$B:$B,Справ_Сотрудников!$A:$A),""))</f>
        <v/>
      </c>
      <c r="D13" t="str">
        <f>IF(ISBLANK(B13),"",IFERROR(_xlfn.XLOOKUP(B13,Справ_Сотрудников!$B:$B,Справ_Сотрудников!$C:$C),""))</f>
        <v/>
      </c>
      <c r="E13" t="str">
        <f>IF(ISBLANK(B13),"",IFERROR(_xlfn.XLOOKUP(B13,Справ_Сотрудников!$B:$B,Справ_Сотрудников!$D:$D),""))</f>
        <v/>
      </c>
      <c r="F13" t="str">
        <f>IF(ISBLANK(B13),"",IFERROR(_xlfn.XLOOKUP(B13,Справ_Сотрудников!$B:$B,Справ_Сотрудников!$E:$E),""))</f>
        <v/>
      </c>
      <c r="G13" t="str">
        <f>IF(ISBLANK(B13),"",IFERROR(_xlfn.XLOOKUP(B13,Справ_Сотрудников!$B:$B,Справ_Сотрудников!$F:$F),""))</f>
        <v/>
      </c>
      <c r="H13" t="str">
        <f>IF(ISBLANK(B13),"",IFERROR(_xlfn.XLOOKUP(B13,Справ_Сотрудников!$B:$B,Справ_Сотрудников!$G:$G),""))</f>
        <v/>
      </c>
      <c r="J13" t="str">
        <f>IF(ISBLANK(I13),"",IFERROR(_xlfn.XLOOKUP(I13,Справ_ВидыПремий!$B:$B,Справ_ВидыПремий!$E:$E)&amp;"",""))</f>
        <v/>
      </c>
      <c r="K13" t="str">
        <f>IF(ISBLANK(I13),"",IFERROR(_xlfn.XLOOKUP(I13,Справ_ВидыПремий!$B:$B,Справ_ВидыПремий!$F:$F)&amp;"",""))</f>
        <v/>
      </c>
      <c r="M13" t="str">
        <f>IF(ISBLANK(I13),"",IFERROR(_xlfn.XLOOKUP(I13,Справ_ВидыПремий!$B:$B,Справ_ВидыПремий!$G:$G)&amp;"",""))</f>
        <v/>
      </c>
      <c r="N13" t="str">
        <f>IF(ISBLANK(I13),"",IFERROR(_xlfn.XLOOKUP(I13,Справ_ВидыПремий!$B:$B,Справ_ВидыПремий!$H:$H)&amp;"",""))</f>
        <v/>
      </c>
      <c r="P13" t="str">
        <f>IF(ISBLANK(A13),"",IFERROR(_xlfn.XLOOKUP(A13,Периоды!$A:$A,Периоды!$B:$B),""))</f>
        <v/>
      </c>
      <c r="Q13" t="str">
        <f t="shared" ca="1" si="0"/>
        <v/>
      </c>
      <c r="R13" t="str">
        <f>IF(ISBLANK(I13),"",IFERROR(_xlfn.XLOOKUP(I13,Справ_ВидыПремий!$B:$B,Справ_ВидыПремий!$I:$I),""))</f>
        <v/>
      </c>
    </row>
    <row r="14" spans="1:18" x14ac:dyDescent="0.3">
      <c r="A14" s="11"/>
      <c r="C14" t="str">
        <f>IF(ISBLANK(B14),"",IFERROR(_xlfn.XLOOKUP(B14,Справ_Сотрудников!$B:$B,Справ_Сотрудников!$A:$A),""))</f>
        <v/>
      </c>
      <c r="D14" t="str">
        <f>IF(ISBLANK(B14),"",IFERROR(_xlfn.XLOOKUP(B14,Справ_Сотрудников!$B:$B,Справ_Сотрудников!$C:$C),""))</f>
        <v/>
      </c>
      <c r="E14" t="str">
        <f>IF(ISBLANK(B14),"",IFERROR(_xlfn.XLOOKUP(B14,Справ_Сотрудников!$B:$B,Справ_Сотрудников!$D:$D),""))</f>
        <v/>
      </c>
      <c r="F14" t="str">
        <f>IF(ISBLANK(B14),"",IFERROR(_xlfn.XLOOKUP(B14,Справ_Сотрудников!$B:$B,Справ_Сотрудников!$E:$E),""))</f>
        <v/>
      </c>
      <c r="G14" t="str">
        <f>IF(ISBLANK(B14),"",IFERROR(_xlfn.XLOOKUP(B14,Справ_Сотрудников!$B:$B,Справ_Сотрудников!$F:$F),""))</f>
        <v/>
      </c>
      <c r="H14" t="str">
        <f>IF(ISBLANK(B14),"",IFERROR(_xlfn.XLOOKUP(B14,Справ_Сотрудников!$B:$B,Справ_Сотрудников!$G:$G),""))</f>
        <v/>
      </c>
      <c r="J14" t="str">
        <f>IF(ISBLANK(I14),"",IFERROR(_xlfn.XLOOKUP(I14,Справ_ВидыПремий!$B:$B,Справ_ВидыПремий!$E:$E)&amp;"",""))</f>
        <v/>
      </c>
      <c r="K14" t="str">
        <f>IF(ISBLANK(I14),"",IFERROR(_xlfn.XLOOKUP(I14,Справ_ВидыПремий!$B:$B,Справ_ВидыПремий!$F:$F)&amp;"",""))</f>
        <v/>
      </c>
      <c r="M14" t="str">
        <f>IF(ISBLANK(I14),"",IFERROR(_xlfn.XLOOKUP(I14,Справ_ВидыПремий!$B:$B,Справ_ВидыПремий!$G:$G)&amp;"",""))</f>
        <v/>
      </c>
      <c r="N14" t="str">
        <f>IF(ISBLANK(I14),"",IFERROR(_xlfn.XLOOKUP(I14,Справ_ВидыПремий!$B:$B,Справ_ВидыПремий!$H:$H)&amp;"",""))</f>
        <v/>
      </c>
      <c r="P14" t="str">
        <f>IF(ISBLANK(A14),"",IFERROR(_xlfn.XLOOKUP(A14,Периоды!$A:$A,Периоды!$B:$B),""))</f>
        <v/>
      </c>
      <c r="Q14" t="str">
        <f t="shared" ca="1" si="0"/>
        <v/>
      </c>
      <c r="R14" t="str">
        <f>IF(ISBLANK(I14),"",IFERROR(_xlfn.XLOOKUP(I14,Справ_ВидыПремий!$B:$B,Справ_ВидыПремий!$I:$I),""))</f>
        <v/>
      </c>
    </row>
    <row r="15" spans="1:18" x14ac:dyDescent="0.3">
      <c r="A15" s="11"/>
      <c r="C15" t="str">
        <f>IF(ISBLANK(B15),"",IFERROR(_xlfn.XLOOKUP(B15,Справ_Сотрудников!$B:$B,Справ_Сотрудников!$A:$A),""))</f>
        <v/>
      </c>
      <c r="D15" t="str">
        <f>IF(ISBLANK(B15),"",IFERROR(_xlfn.XLOOKUP(B15,Справ_Сотрудников!$B:$B,Справ_Сотрудников!$C:$C),""))</f>
        <v/>
      </c>
      <c r="E15" t="str">
        <f>IF(ISBLANK(B15),"",IFERROR(_xlfn.XLOOKUP(B15,Справ_Сотрудников!$B:$B,Справ_Сотрудников!$D:$D),""))</f>
        <v/>
      </c>
      <c r="F15" t="str">
        <f>IF(ISBLANK(B15),"",IFERROR(_xlfn.XLOOKUP(B15,Справ_Сотрудников!$B:$B,Справ_Сотрудников!$E:$E),""))</f>
        <v/>
      </c>
      <c r="G15" t="str">
        <f>IF(ISBLANK(B15),"",IFERROR(_xlfn.XLOOKUP(B15,Справ_Сотрудников!$B:$B,Справ_Сотрудников!$F:$F),""))</f>
        <v/>
      </c>
      <c r="H15" t="str">
        <f>IF(ISBLANK(B15),"",IFERROR(_xlfn.XLOOKUP(B15,Справ_Сотрудников!$B:$B,Справ_Сотрудников!$G:$G),""))</f>
        <v/>
      </c>
      <c r="J15" t="str">
        <f>IF(ISBLANK(I15),"",IFERROR(_xlfn.XLOOKUP(I15,Справ_ВидыПремий!$B:$B,Справ_ВидыПремий!$E:$E)&amp;"",""))</f>
        <v/>
      </c>
      <c r="K15" t="str">
        <f>IF(ISBLANK(I15),"",IFERROR(_xlfn.XLOOKUP(I15,Справ_ВидыПремий!$B:$B,Справ_ВидыПремий!$F:$F)&amp;"",""))</f>
        <v/>
      </c>
      <c r="M15" t="str">
        <f>IF(ISBLANK(I15),"",IFERROR(_xlfn.XLOOKUP(I15,Справ_ВидыПремий!$B:$B,Справ_ВидыПремий!$G:$G)&amp;"",""))</f>
        <v/>
      </c>
      <c r="N15" t="str">
        <f>IF(ISBLANK(I15),"",IFERROR(_xlfn.XLOOKUP(I15,Справ_ВидыПремий!$B:$B,Справ_ВидыПремий!$H:$H)&amp;"",""))</f>
        <v/>
      </c>
      <c r="P15" t="str">
        <f>IF(ISBLANK(A15),"",IFERROR(_xlfn.XLOOKUP(A15,Периоды!$A:$A,Периоды!$B:$B),""))</f>
        <v/>
      </c>
      <c r="Q15" t="str">
        <f t="shared" ca="1" si="0"/>
        <v/>
      </c>
      <c r="R15" t="str">
        <f>IF(ISBLANK(I15),"",IFERROR(_xlfn.XLOOKUP(I15,Справ_ВидыПремий!$B:$B,Справ_ВидыПремий!$I:$I),""))</f>
        <v/>
      </c>
    </row>
    <row r="16" spans="1:18" x14ac:dyDescent="0.3">
      <c r="A16" s="11"/>
      <c r="C16" t="str">
        <f>IF(ISBLANK(B16),"",IFERROR(_xlfn.XLOOKUP(B16,Справ_Сотрудников!$B:$B,Справ_Сотрудников!$A:$A),""))</f>
        <v/>
      </c>
      <c r="D16" t="str">
        <f>IF(ISBLANK(B16),"",IFERROR(_xlfn.XLOOKUP(B16,Справ_Сотрудников!$B:$B,Справ_Сотрудников!$C:$C),""))</f>
        <v/>
      </c>
      <c r="E16" t="str">
        <f>IF(ISBLANK(B16),"",IFERROR(_xlfn.XLOOKUP(B16,Справ_Сотрудников!$B:$B,Справ_Сотрудников!$D:$D),""))</f>
        <v/>
      </c>
      <c r="F16" t="str">
        <f>IF(ISBLANK(B16),"",IFERROR(_xlfn.XLOOKUP(B16,Справ_Сотрудников!$B:$B,Справ_Сотрудников!$E:$E),""))</f>
        <v/>
      </c>
      <c r="G16" t="str">
        <f>IF(ISBLANK(B16),"",IFERROR(_xlfn.XLOOKUP(B16,Справ_Сотрудников!$B:$B,Справ_Сотрудников!$F:$F),""))</f>
        <v/>
      </c>
      <c r="H16" t="str">
        <f>IF(ISBLANK(B16),"",IFERROR(_xlfn.XLOOKUP(B16,Справ_Сотрудников!$B:$B,Справ_Сотрудников!$G:$G),""))</f>
        <v/>
      </c>
      <c r="J16" t="str">
        <f>IF(ISBLANK(I16),"",IFERROR(_xlfn.XLOOKUP(I16,Справ_ВидыПремий!$B:$B,Справ_ВидыПремий!$E:$E)&amp;"",""))</f>
        <v/>
      </c>
      <c r="K16" t="str">
        <f>IF(ISBLANK(I16),"",IFERROR(_xlfn.XLOOKUP(I16,Справ_ВидыПремий!$B:$B,Справ_ВидыПремий!$F:$F)&amp;"",""))</f>
        <v/>
      </c>
      <c r="M16" t="str">
        <f>IF(ISBLANK(I16),"",IFERROR(_xlfn.XLOOKUP(I16,Справ_ВидыПремий!$B:$B,Справ_ВидыПремий!$G:$G)&amp;"",""))</f>
        <v/>
      </c>
      <c r="N16" t="str">
        <f>IF(ISBLANK(I16),"",IFERROR(_xlfn.XLOOKUP(I16,Справ_ВидыПремий!$B:$B,Справ_ВидыПремий!$H:$H)&amp;"",""))</f>
        <v/>
      </c>
      <c r="P16" t="str">
        <f>IF(ISBLANK(A16),"",IFERROR(_xlfn.XLOOKUP(A16,Периоды!$A:$A,Периоды!$B:$B),""))</f>
        <v/>
      </c>
      <c r="Q16" t="str">
        <f t="shared" ca="1" si="0"/>
        <v/>
      </c>
      <c r="R16" t="str">
        <f>IF(ISBLANK(I16),"",IFERROR(_xlfn.XLOOKUP(I16,Справ_ВидыПремий!$B:$B,Справ_ВидыПремий!$I:$I),""))</f>
        <v/>
      </c>
    </row>
    <row r="17" spans="1:18" x14ac:dyDescent="0.3">
      <c r="A17" s="11"/>
      <c r="C17" t="str">
        <f>IF(ISBLANK(B17),"",IFERROR(_xlfn.XLOOKUP(B17,Справ_Сотрудников!$B:$B,Справ_Сотрудников!$A:$A),""))</f>
        <v/>
      </c>
      <c r="D17" t="str">
        <f>IF(ISBLANK(B17),"",IFERROR(_xlfn.XLOOKUP(B17,Справ_Сотрудников!$B:$B,Справ_Сотрудников!$C:$C),""))</f>
        <v/>
      </c>
      <c r="E17" t="str">
        <f>IF(ISBLANK(B17),"",IFERROR(_xlfn.XLOOKUP(B17,Справ_Сотрудников!$B:$B,Справ_Сотрудников!$D:$D),""))</f>
        <v/>
      </c>
      <c r="F17" t="str">
        <f>IF(ISBLANK(B17),"",IFERROR(_xlfn.XLOOKUP(B17,Справ_Сотрудников!$B:$B,Справ_Сотрудников!$E:$E),""))</f>
        <v/>
      </c>
      <c r="G17" t="str">
        <f>IF(ISBLANK(B17),"",IFERROR(_xlfn.XLOOKUP(B17,Справ_Сотрудников!$B:$B,Справ_Сотрудников!$F:$F),""))</f>
        <v/>
      </c>
      <c r="H17" t="str">
        <f>IF(ISBLANK(B17),"",IFERROR(_xlfn.XLOOKUP(B17,Справ_Сотрудников!$B:$B,Справ_Сотрудников!$G:$G),""))</f>
        <v/>
      </c>
      <c r="J17" t="str">
        <f>IF(ISBLANK(I17),"",IFERROR(_xlfn.XLOOKUP(I17,Справ_ВидыПремий!$B:$B,Справ_ВидыПремий!$E:$E)&amp;"",""))</f>
        <v/>
      </c>
      <c r="K17" t="str">
        <f>IF(ISBLANK(I17),"",IFERROR(_xlfn.XLOOKUP(I17,Справ_ВидыПремий!$B:$B,Справ_ВидыПремий!$F:$F)&amp;"",""))</f>
        <v/>
      </c>
      <c r="M17" t="str">
        <f>IF(ISBLANK(I17),"",IFERROR(_xlfn.XLOOKUP(I17,Справ_ВидыПремий!$B:$B,Справ_ВидыПремий!$G:$G)&amp;"",""))</f>
        <v/>
      </c>
      <c r="N17" t="str">
        <f>IF(ISBLANK(I17),"",IFERROR(_xlfn.XLOOKUP(I17,Справ_ВидыПремий!$B:$B,Справ_ВидыПремий!$H:$H)&amp;"",""))</f>
        <v/>
      </c>
      <c r="P17" t="str">
        <f>IF(ISBLANK(A17),"",IFERROR(_xlfn.XLOOKUP(A17,Периоды!$A:$A,Периоды!$B:$B),""))</f>
        <v/>
      </c>
      <c r="Q17" t="str">
        <f t="shared" ca="1" si="0"/>
        <v/>
      </c>
      <c r="R17" t="str">
        <f>IF(ISBLANK(I17),"",IFERROR(_xlfn.XLOOKUP(I17,Справ_ВидыПремий!$B:$B,Справ_ВидыПремий!$I:$I),""))</f>
        <v/>
      </c>
    </row>
    <row r="18" spans="1:18" x14ac:dyDescent="0.3">
      <c r="A18" s="11"/>
      <c r="C18" t="str">
        <f>IF(ISBLANK(B18),"",IFERROR(_xlfn.XLOOKUP(B18,Справ_Сотрудников!$B:$B,Справ_Сотрудников!$A:$A),""))</f>
        <v/>
      </c>
      <c r="D18" t="str">
        <f>IF(ISBLANK(B18),"",IFERROR(_xlfn.XLOOKUP(B18,Справ_Сотрудников!$B:$B,Справ_Сотрудников!$C:$C),""))</f>
        <v/>
      </c>
      <c r="E18" t="str">
        <f>IF(ISBLANK(B18),"",IFERROR(_xlfn.XLOOKUP(B18,Справ_Сотрудников!$B:$B,Справ_Сотрудников!$D:$D),""))</f>
        <v/>
      </c>
      <c r="F18" t="str">
        <f>IF(ISBLANK(B18),"",IFERROR(_xlfn.XLOOKUP(B18,Справ_Сотрудников!$B:$B,Справ_Сотрудников!$E:$E),""))</f>
        <v/>
      </c>
      <c r="G18" t="str">
        <f>IF(ISBLANK(B18),"",IFERROR(_xlfn.XLOOKUP(B18,Справ_Сотрудников!$B:$B,Справ_Сотрудников!$F:$F),""))</f>
        <v/>
      </c>
      <c r="H18" t="str">
        <f>IF(ISBLANK(B18),"",IFERROR(_xlfn.XLOOKUP(B18,Справ_Сотрудников!$B:$B,Справ_Сотрудников!$G:$G),""))</f>
        <v/>
      </c>
      <c r="J18" t="str">
        <f>IF(ISBLANK(I18),"",IFERROR(_xlfn.XLOOKUP(I18,Справ_ВидыПремий!$B:$B,Справ_ВидыПремий!$E:$E)&amp;"",""))</f>
        <v/>
      </c>
      <c r="K18" t="str">
        <f>IF(ISBLANK(I18),"",IFERROR(_xlfn.XLOOKUP(I18,Справ_ВидыПремий!$B:$B,Справ_ВидыПремий!$F:$F)&amp;"",""))</f>
        <v/>
      </c>
      <c r="M18" t="str">
        <f>IF(ISBLANK(I18),"",IFERROR(_xlfn.XLOOKUP(I18,Справ_ВидыПремий!$B:$B,Справ_ВидыПремий!$G:$G)&amp;"",""))</f>
        <v/>
      </c>
      <c r="N18" t="str">
        <f>IF(ISBLANK(I18),"",IFERROR(_xlfn.XLOOKUP(I18,Справ_ВидыПремий!$B:$B,Справ_ВидыПремий!$H:$H)&amp;"",""))</f>
        <v/>
      </c>
      <c r="P18" t="str">
        <f>IF(ISBLANK(A18),"",IFERROR(_xlfn.XLOOKUP(A18,Периоды!$A:$A,Периоды!$B:$B),""))</f>
        <v/>
      </c>
      <c r="Q18" t="str">
        <f t="shared" ca="1" si="0"/>
        <v/>
      </c>
      <c r="R18" t="str">
        <f>IF(ISBLANK(I18),"",IFERROR(_xlfn.XLOOKUP(I18,Справ_ВидыПремий!$B:$B,Справ_ВидыПремий!$I:$I),""))</f>
        <v/>
      </c>
    </row>
    <row r="19" spans="1:18" x14ac:dyDescent="0.3">
      <c r="A19" s="11"/>
      <c r="C19" t="str">
        <f>IF(ISBLANK(B19),"",IFERROR(_xlfn.XLOOKUP(B19,Справ_Сотрудников!$B:$B,Справ_Сотрудников!$A:$A),""))</f>
        <v/>
      </c>
      <c r="D19" t="str">
        <f>IF(ISBLANK(B19),"",IFERROR(_xlfn.XLOOKUP(B19,Справ_Сотрудников!$B:$B,Справ_Сотрудников!$C:$C),""))</f>
        <v/>
      </c>
      <c r="E19" t="str">
        <f>IF(ISBLANK(B19),"",IFERROR(_xlfn.XLOOKUP(B19,Справ_Сотрудников!$B:$B,Справ_Сотрудников!$D:$D),""))</f>
        <v/>
      </c>
      <c r="F19" t="str">
        <f>IF(ISBLANK(B19),"",IFERROR(_xlfn.XLOOKUP(B19,Справ_Сотрудников!$B:$B,Справ_Сотрудников!$E:$E),""))</f>
        <v/>
      </c>
      <c r="G19" t="str">
        <f>IF(ISBLANK(B19),"",IFERROR(_xlfn.XLOOKUP(B19,Справ_Сотрудников!$B:$B,Справ_Сотрудников!$F:$F),""))</f>
        <v/>
      </c>
      <c r="H19" t="str">
        <f>IF(ISBLANK(B19),"",IFERROR(_xlfn.XLOOKUP(B19,Справ_Сотрудников!$B:$B,Справ_Сотрудников!$G:$G),""))</f>
        <v/>
      </c>
      <c r="J19" t="str">
        <f>IF(ISBLANK(I19),"",IFERROR(_xlfn.XLOOKUP(I19,Справ_ВидыПремий!$B:$B,Справ_ВидыПремий!$E:$E)&amp;"",""))</f>
        <v/>
      </c>
      <c r="K19" t="str">
        <f>IF(ISBLANK(I19),"",IFERROR(_xlfn.XLOOKUP(I19,Справ_ВидыПремий!$B:$B,Справ_ВидыПремий!$F:$F)&amp;"",""))</f>
        <v/>
      </c>
      <c r="M19" t="str">
        <f>IF(ISBLANK(I19),"",IFERROR(_xlfn.XLOOKUP(I19,Справ_ВидыПремий!$B:$B,Справ_ВидыПремий!$G:$G)&amp;"",""))</f>
        <v/>
      </c>
      <c r="N19" t="str">
        <f>IF(ISBLANK(I19),"",IFERROR(_xlfn.XLOOKUP(I19,Справ_ВидыПремий!$B:$B,Справ_ВидыПремий!$H:$H)&amp;"",""))</f>
        <v/>
      </c>
      <c r="P19" t="str">
        <f>IF(ISBLANK(A19),"",IFERROR(_xlfn.XLOOKUP(A19,Периоды!$A:$A,Периоды!$B:$B),""))</f>
        <v/>
      </c>
      <c r="Q19" t="str">
        <f t="shared" ca="1" si="0"/>
        <v/>
      </c>
      <c r="R19" t="str">
        <f>IF(ISBLANK(I19),"",IFERROR(_xlfn.XLOOKUP(I19,Справ_ВидыПремий!$B:$B,Справ_ВидыПремий!$I:$I),""))</f>
        <v/>
      </c>
    </row>
    <row r="20" spans="1:18" x14ac:dyDescent="0.3">
      <c r="A20" s="11"/>
      <c r="C20" t="str">
        <f>IF(ISBLANK(B20),"",IFERROR(_xlfn.XLOOKUP(B20,Справ_Сотрудников!$B:$B,Справ_Сотрудников!$A:$A),""))</f>
        <v/>
      </c>
      <c r="D20" t="str">
        <f>IF(ISBLANK(B20),"",IFERROR(_xlfn.XLOOKUP(B20,Справ_Сотрудников!$B:$B,Справ_Сотрудников!$C:$C),""))</f>
        <v/>
      </c>
      <c r="E20" t="str">
        <f>IF(ISBLANK(B20),"",IFERROR(_xlfn.XLOOKUP(B20,Справ_Сотрудников!$B:$B,Справ_Сотрудников!$D:$D),""))</f>
        <v/>
      </c>
      <c r="F20" t="str">
        <f>IF(ISBLANK(B20),"",IFERROR(_xlfn.XLOOKUP(B20,Справ_Сотрудников!$B:$B,Справ_Сотрудников!$E:$E),""))</f>
        <v/>
      </c>
      <c r="G20" t="str">
        <f>IF(ISBLANK(B20),"",IFERROR(_xlfn.XLOOKUP(B20,Справ_Сотрудников!$B:$B,Справ_Сотрудников!$F:$F),""))</f>
        <v/>
      </c>
      <c r="H20" t="str">
        <f>IF(ISBLANK(B20),"",IFERROR(_xlfn.XLOOKUP(B20,Справ_Сотрудников!$B:$B,Справ_Сотрудников!$G:$G),""))</f>
        <v/>
      </c>
      <c r="J20" t="str">
        <f>IF(ISBLANK(I20),"",IFERROR(_xlfn.XLOOKUP(I20,Справ_ВидыПремий!$B:$B,Справ_ВидыПремий!$E:$E)&amp;"",""))</f>
        <v/>
      </c>
      <c r="K20" t="str">
        <f>IF(ISBLANK(I20),"",IFERROR(_xlfn.XLOOKUP(I20,Справ_ВидыПремий!$B:$B,Справ_ВидыПремий!$F:$F)&amp;"",""))</f>
        <v/>
      </c>
      <c r="M20" t="str">
        <f>IF(ISBLANK(I20),"",IFERROR(_xlfn.XLOOKUP(I20,Справ_ВидыПремий!$B:$B,Справ_ВидыПремий!$G:$G)&amp;"",""))</f>
        <v/>
      </c>
      <c r="N20" t="str">
        <f>IF(ISBLANK(I20),"",IFERROR(_xlfn.XLOOKUP(I20,Справ_ВидыПремий!$B:$B,Справ_ВидыПремий!$H:$H)&amp;"",""))</f>
        <v/>
      </c>
      <c r="P20" t="str">
        <f>IF(ISBLANK(A20),"",IFERROR(_xlfn.XLOOKUP(A20,Периоды!$A:$A,Периоды!$B:$B),""))</f>
        <v/>
      </c>
      <c r="Q20" t="str">
        <f t="shared" ca="1" si="0"/>
        <v/>
      </c>
      <c r="R20" t="str">
        <f>IF(ISBLANK(I20),"",IFERROR(_xlfn.XLOOKUP(I20,Справ_ВидыПремий!$B:$B,Справ_ВидыПремий!$I:$I),""))</f>
        <v/>
      </c>
    </row>
    <row r="21" spans="1:18" x14ac:dyDescent="0.3">
      <c r="A21" s="11"/>
      <c r="C21" t="str">
        <f>IF(ISBLANK(B21),"",IFERROR(_xlfn.XLOOKUP(B21,Справ_Сотрудников!$B:$B,Справ_Сотрудников!$A:$A),""))</f>
        <v/>
      </c>
      <c r="D21" t="str">
        <f>IF(ISBLANK(B21),"",IFERROR(_xlfn.XLOOKUP(B21,Справ_Сотрудников!$B:$B,Справ_Сотрудников!$C:$C),""))</f>
        <v/>
      </c>
      <c r="E21" t="str">
        <f>IF(ISBLANK(B21),"",IFERROR(_xlfn.XLOOKUP(B21,Справ_Сотрудников!$B:$B,Справ_Сотрудников!$D:$D),""))</f>
        <v/>
      </c>
      <c r="F21" t="str">
        <f>IF(ISBLANK(B21),"",IFERROR(_xlfn.XLOOKUP(B21,Справ_Сотрудников!$B:$B,Справ_Сотрудников!$E:$E),""))</f>
        <v/>
      </c>
      <c r="G21" t="str">
        <f>IF(ISBLANK(B21),"",IFERROR(_xlfn.XLOOKUP(B21,Справ_Сотрудников!$B:$B,Справ_Сотрудников!$F:$F),""))</f>
        <v/>
      </c>
      <c r="H21" t="str">
        <f>IF(ISBLANK(B21),"",IFERROR(_xlfn.XLOOKUP(B21,Справ_Сотрудников!$B:$B,Справ_Сотрудников!$G:$G),""))</f>
        <v/>
      </c>
      <c r="J21" t="str">
        <f>IF(ISBLANK(I21),"",IFERROR(_xlfn.XLOOKUP(I21,Справ_ВидыПремий!$B:$B,Справ_ВидыПремий!$E:$E)&amp;"",""))</f>
        <v/>
      </c>
      <c r="K21" t="str">
        <f>IF(ISBLANK(I21),"",IFERROR(_xlfn.XLOOKUP(I21,Справ_ВидыПремий!$B:$B,Справ_ВидыПремий!$F:$F)&amp;"",""))</f>
        <v/>
      </c>
      <c r="M21" t="str">
        <f>IF(ISBLANK(I21),"",IFERROR(_xlfn.XLOOKUP(I21,Справ_ВидыПремий!$B:$B,Справ_ВидыПремий!$G:$G)&amp;"",""))</f>
        <v/>
      </c>
      <c r="N21" t="str">
        <f>IF(ISBLANK(I21),"",IFERROR(_xlfn.XLOOKUP(I21,Справ_ВидыПремий!$B:$B,Справ_ВидыПремий!$H:$H)&amp;"",""))</f>
        <v/>
      </c>
      <c r="P21" t="str">
        <f>IF(ISBLANK(A21),"",IFERROR(_xlfn.XLOOKUP(A21,Периоды!$A:$A,Периоды!$B:$B),""))</f>
        <v/>
      </c>
      <c r="Q21" t="str">
        <f t="shared" ca="1" si="0"/>
        <v/>
      </c>
      <c r="R21" t="str">
        <f>IF(ISBLANK(I21),"",IFERROR(_xlfn.XLOOKUP(I21,Справ_ВидыПремий!$B:$B,Справ_ВидыПремий!$I:$I),""))</f>
        <v/>
      </c>
    </row>
    <row r="22" spans="1:18" x14ac:dyDescent="0.3">
      <c r="A22" s="11"/>
      <c r="C22" t="str">
        <f>IF(ISBLANK(B22),"",IFERROR(_xlfn.XLOOKUP(B22,Справ_Сотрудников!$B:$B,Справ_Сотрудников!$A:$A),""))</f>
        <v/>
      </c>
      <c r="D22" t="str">
        <f>IF(ISBLANK(B22),"",IFERROR(_xlfn.XLOOKUP(B22,Справ_Сотрудников!$B:$B,Справ_Сотрудников!$C:$C),""))</f>
        <v/>
      </c>
      <c r="E22" t="str">
        <f>IF(ISBLANK(B22),"",IFERROR(_xlfn.XLOOKUP(B22,Справ_Сотрудников!$B:$B,Справ_Сотрудников!$D:$D),""))</f>
        <v/>
      </c>
      <c r="F22" t="str">
        <f>IF(ISBLANK(B22),"",IFERROR(_xlfn.XLOOKUP(B22,Справ_Сотрудников!$B:$B,Справ_Сотрудников!$E:$E),""))</f>
        <v/>
      </c>
      <c r="G22" t="str">
        <f>IF(ISBLANK(B22),"",IFERROR(_xlfn.XLOOKUP(B22,Справ_Сотрудников!$B:$B,Справ_Сотрудников!$F:$F),""))</f>
        <v/>
      </c>
      <c r="H22" t="str">
        <f>IF(ISBLANK(B22),"",IFERROR(_xlfn.XLOOKUP(B22,Справ_Сотрудников!$B:$B,Справ_Сотрудников!$G:$G),""))</f>
        <v/>
      </c>
      <c r="J22" t="str">
        <f>IF(ISBLANK(I22),"",IFERROR(_xlfn.XLOOKUP(I22,Справ_ВидыПремий!$B:$B,Справ_ВидыПремий!$E:$E)&amp;"",""))</f>
        <v/>
      </c>
      <c r="K22" t="str">
        <f>IF(ISBLANK(I22),"",IFERROR(_xlfn.XLOOKUP(I22,Справ_ВидыПремий!$B:$B,Справ_ВидыПремий!$F:$F)&amp;"",""))</f>
        <v/>
      </c>
      <c r="M22" t="str">
        <f>IF(ISBLANK(I22),"",IFERROR(_xlfn.XLOOKUP(I22,Справ_ВидыПремий!$B:$B,Справ_ВидыПремий!$G:$G)&amp;"",""))</f>
        <v/>
      </c>
      <c r="N22" t="str">
        <f>IF(ISBLANK(I22),"",IFERROR(_xlfn.XLOOKUP(I22,Справ_ВидыПремий!$B:$B,Справ_ВидыПремий!$H:$H)&amp;"",""))</f>
        <v/>
      </c>
      <c r="P22" t="str">
        <f>IF(ISBLANK(A22),"",IFERROR(_xlfn.XLOOKUP(A22,Периоды!$A:$A,Периоды!$B:$B),""))</f>
        <v/>
      </c>
      <c r="Q22" t="str">
        <f t="shared" ca="1" si="0"/>
        <v/>
      </c>
      <c r="R22" t="str">
        <f>IF(ISBLANK(I22),"",IFERROR(_xlfn.XLOOKUP(I22,Справ_ВидыПремий!$B:$B,Справ_ВидыПремий!$I:$I),""))</f>
        <v/>
      </c>
    </row>
    <row r="23" spans="1:18" x14ac:dyDescent="0.3">
      <c r="A23" s="11"/>
      <c r="C23" t="str">
        <f>IF(ISBLANK(B23),"",IFERROR(_xlfn.XLOOKUP(B23,Справ_Сотрудников!$B:$B,Справ_Сотрудников!$A:$A),""))</f>
        <v/>
      </c>
      <c r="D23" t="str">
        <f>IF(ISBLANK(B23),"",IFERROR(_xlfn.XLOOKUP(B23,Справ_Сотрудников!$B:$B,Справ_Сотрудников!$C:$C),""))</f>
        <v/>
      </c>
      <c r="E23" t="str">
        <f>IF(ISBLANK(B23),"",IFERROR(_xlfn.XLOOKUP(B23,Справ_Сотрудников!$B:$B,Справ_Сотрудников!$D:$D),""))</f>
        <v/>
      </c>
      <c r="F23" t="str">
        <f>IF(ISBLANK(B23),"",IFERROR(_xlfn.XLOOKUP(B23,Справ_Сотрудников!$B:$B,Справ_Сотрудников!$E:$E),""))</f>
        <v/>
      </c>
      <c r="G23" t="str">
        <f>IF(ISBLANK(B23),"",IFERROR(_xlfn.XLOOKUP(B23,Справ_Сотрудников!$B:$B,Справ_Сотрудников!$F:$F),""))</f>
        <v/>
      </c>
      <c r="H23" t="str">
        <f>IF(ISBLANK(B23),"",IFERROR(_xlfn.XLOOKUP(B23,Справ_Сотрудников!$B:$B,Справ_Сотрудников!$G:$G),""))</f>
        <v/>
      </c>
      <c r="J23" t="str">
        <f>IF(ISBLANK(I23),"",IFERROR(_xlfn.XLOOKUP(I23,Справ_ВидыПремий!$B:$B,Справ_ВидыПремий!$E:$E)&amp;"",""))</f>
        <v/>
      </c>
      <c r="K23" t="str">
        <f>IF(ISBLANK(I23),"",IFERROR(_xlfn.XLOOKUP(I23,Справ_ВидыПремий!$B:$B,Справ_ВидыПремий!$F:$F)&amp;"",""))</f>
        <v/>
      </c>
      <c r="M23" t="str">
        <f>IF(ISBLANK(I23),"",IFERROR(_xlfn.XLOOKUP(I23,Справ_ВидыПремий!$B:$B,Справ_ВидыПремий!$G:$G)&amp;"",""))</f>
        <v/>
      </c>
      <c r="N23" t="str">
        <f>IF(ISBLANK(I23),"",IFERROR(_xlfn.XLOOKUP(I23,Справ_ВидыПремий!$B:$B,Справ_ВидыПремий!$H:$H)&amp;"",""))</f>
        <v/>
      </c>
      <c r="P23" t="str">
        <f>IF(ISBLANK(A23),"",IFERROR(_xlfn.XLOOKUP(A23,Периоды!$A:$A,Периоды!$B:$B),""))</f>
        <v/>
      </c>
      <c r="Q23" t="str">
        <f t="shared" ca="1" si="0"/>
        <v/>
      </c>
      <c r="R23" t="str">
        <f>IF(ISBLANK(I23),"",IFERROR(_xlfn.XLOOKUP(I23,Справ_ВидыПремий!$B:$B,Справ_ВидыПремий!$I:$I),""))</f>
        <v/>
      </c>
    </row>
    <row r="24" spans="1:18" x14ac:dyDescent="0.3">
      <c r="A24" s="11"/>
      <c r="C24" t="str">
        <f>IF(ISBLANK(B24),"",IFERROR(_xlfn.XLOOKUP(B24,Справ_Сотрудников!$B:$B,Справ_Сотрудников!$A:$A),""))</f>
        <v/>
      </c>
      <c r="D24" t="str">
        <f>IF(ISBLANK(B24),"",IFERROR(_xlfn.XLOOKUP(B24,Справ_Сотрудников!$B:$B,Справ_Сотрудников!$C:$C),""))</f>
        <v/>
      </c>
      <c r="E24" t="str">
        <f>IF(ISBLANK(B24),"",IFERROR(_xlfn.XLOOKUP(B24,Справ_Сотрудников!$B:$B,Справ_Сотрудников!$D:$D),""))</f>
        <v/>
      </c>
      <c r="F24" t="str">
        <f>IF(ISBLANK(B24),"",IFERROR(_xlfn.XLOOKUP(B24,Справ_Сотрудников!$B:$B,Справ_Сотрудников!$E:$E),""))</f>
        <v/>
      </c>
      <c r="G24" t="str">
        <f>IF(ISBLANK(B24),"",IFERROR(_xlfn.XLOOKUP(B24,Справ_Сотрудников!$B:$B,Справ_Сотрудников!$F:$F),""))</f>
        <v/>
      </c>
      <c r="H24" t="str">
        <f>IF(ISBLANK(B24),"",IFERROR(_xlfn.XLOOKUP(B24,Справ_Сотрудников!$B:$B,Справ_Сотрудников!$G:$G),""))</f>
        <v/>
      </c>
      <c r="J24" t="str">
        <f>IF(ISBLANK(I24),"",IFERROR(_xlfn.XLOOKUP(I24,Справ_ВидыПремий!$B:$B,Справ_ВидыПремий!$E:$E)&amp;"",""))</f>
        <v/>
      </c>
      <c r="K24" t="str">
        <f>IF(ISBLANK(I24),"",IFERROR(_xlfn.XLOOKUP(I24,Справ_ВидыПремий!$B:$B,Справ_ВидыПремий!$F:$F)&amp;"",""))</f>
        <v/>
      </c>
      <c r="M24" t="str">
        <f>IF(ISBLANK(I24),"",IFERROR(_xlfn.XLOOKUP(I24,Справ_ВидыПремий!$B:$B,Справ_ВидыПремий!$G:$G)&amp;"",""))</f>
        <v/>
      </c>
      <c r="N24" t="str">
        <f>IF(ISBLANK(I24),"",IFERROR(_xlfn.XLOOKUP(I24,Справ_ВидыПремий!$B:$B,Справ_ВидыПремий!$H:$H)&amp;"",""))</f>
        <v/>
      </c>
      <c r="P24" t="str">
        <f>IF(ISBLANK(A24),"",IFERROR(_xlfn.XLOOKUP(A24,Периоды!$A:$A,Периоды!$B:$B),""))</f>
        <v/>
      </c>
      <c r="Q24" t="str">
        <f t="shared" ca="1" si="0"/>
        <v/>
      </c>
      <c r="R24" t="str">
        <f>IF(ISBLANK(I24),"",IFERROR(_xlfn.XLOOKUP(I24,Справ_ВидыПремий!$B:$B,Справ_ВидыПремий!$I:$I),""))</f>
        <v/>
      </c>
    </row>
    <row r="25" spans="1:18" x14ac:dyDescent="0.3">
      <c r="A25" s="11"/>
      <c r="C25" t="str">
        <f>IF(ISBLANK(B25),"",IFERROR(_xlfn.XLOOKUP(B25,Справ_Сотрудников!$B:$B,Справ_Сотрудников!$A:$A),""))</f>
        <v/>
      </c>
      <c r="D25" t="str">
        <f>IF(ISBLANK(B25),"",IFERROR(_xlfn.XLOOKUP(B25,Справ_Сотрудников!$B:$B,Справ_Сотрудников!$C:$C),""))</f>
        <v/>
      </c>
      <c r="E25" t="str">
        <f>IF(ISBLANK(B25),"",IFERROR(_xlfn.XLOOKUP(B25,Справ_Сотрудников!$B:$B,Справ_Сотрудников!$D:$D),""))</f>
        <v/>
      </c>
      <c r="F25" t="str">
        <f>IF(ISBLANK(B25),"",IFERROR(_xlfn.XLOOKUP(B25,Справ_Сотрудников!$B:$B,Справ_Сотрудников!$E:$E),""))</f>
        <v/>
      </c>
      <c r="G25" t="str">
        <f>IF(ISBLANK(B25),"",IFERROR(_xlfn.XLOOKUP(B25,Справ_Сотрудников!$B:$B,Справ_Сотрудников!$F:$F),""))</f>
        <v/>
      </c>
      <c r="H25" t="str">
        <f>IF(ISBLANK(B25),"",IFERROR(_xlfn.XLOOKUP(B25,Справ_Сотрудников!$B:$B,Справ_Сотрудников!$G:$G),""))</f>
        <v/>
      </c>
      <c r="J25" t="str">
        <f>IF(ISBLANK(I25),"",IFERROR(_xlfn.XLOOKUP(I25,Справ_ВидыПремий!$B:$B,Справ_ВидыПремий!$E:$E)&amp;"",""))</f>
        <v/>
      </c>
      <c r="K25" t="str">
        <f>IF(ISBLANK(I25),"",IFERROR(_xlfn.XLOOKUP(I25,Справ_ВидыПремий!$B:$B,Справ_ВидыПремий!$F:$F)&amp;"",""))</f>
        <v/>
      </c>
      <c r="M25" t="str">
        <f>IF(ISBLANK(I25),"",IFERROR(_xlfn.XLOOKUP(I25,Справ_ВидыПремий!$B:$B,Справ_ВидыПремий!$G:$G)&amp;"",""))</f>
        <v/>
      </c>
      <c r="N25" t="str">
        <f>IF(ISBLANK(I25),"",IFERROR(_xlfn.XLOOKUP(I25,Справ_ВидыПремий!$B:$B,Справ_ВидыПремий!$H:$H)&amp;"",""))</f>
        <v/>
      </c>
      <c r="P25" t="str">
        <f>IF(ISBLANK(A25),"",IFERROR(_xlfn.XLOOKUP(A25,Периоды!$A:$A,Периоды!$B:$B),""))</f>
        <v/>
      </c>
      <c r="Q25" t="str">
        <f t="shared" ca="1" si="0"/>
        <v/>
      </c>
      <c r="R25" t="str">
        <f>IF(ISBLANK(I25),"",IFERROR(_xlfn.XLOOKUP(I25,Справ_ВидыПремий!$B:$B,Справ_ВидыПремий!$I:$I),""))</f>
        <v/>
      </c>
    </row>
    <row r="26" spans="1:18" x14ac:dyDescent="0.3">
      <c r="A26" s="11"/>
      <c r="C26" t="str">
        <f>IF(ISBLANK(B26),"",IFERROR(_xlfn.XLOOKUP(B26,Справ_Сотрудников!$B:$B,Справ_Сотрудников!$A:$A),""))</f>
        <v/>
      </c>
      <c r="D26" t="str">
        <f>IF(ISBLANK(B26),"",IFERROR(_xlfn.XLOOKUP(B26,Справ_Сотрудников!$B:$B,Справ_Сотрудников!$C:$C),""))</f>
        <v/>
      </c>
      <c r="E26" t="str">
        <f>IF(ISBLANK(B26),"",IFERROR(_xlfn.XLOOKUP(B26,Справ_Сотрудников!$B:$B,Справ_Сотрудников!$D:$D),""))</f>
        <v/>
      </c>
      <c r="F26" t="str">
        <f>IF(ISBLANK(B26),"",IFERROR(_xlfn.XLOOKUP(B26,Справ_Сотрудников!$B:$B,Справ_Сотрудников!$E:$E),""))</f>
        <v/>
      </c>
      <c r="G26" t="str">
        <f>IF(ISBLANK(B26),"",IFERROR(_xlfn.XLOOKUP(B26,Справ_Сотрудников!$B:$B,Справ_Сотрудников!$F:$F),""))</f>
        <v/>
      </c>
      <c r="H26" t="str">
        <f>IF(ISBLANK(B26),"",IFERROR(_xlfn.XLOOKUP(B26,Справ_Сотрудников!$B:$B,Справ_Сотрудников!$G:$G),""))</f>
        <v/>
      </c>
      <c r="J26" t="str">
        <f>IF(ISBLANK(I26),"",IFERROR(_xlfn.XLOOKUP(I26,Справ_ВидыПремий!$B:$B,Справ_ВидыПремий!$E:$E)&amp;"",""))</f>
        <v/>
      </c>
      <c r="K26" t="str">
        <f>IF(ISBLANK(I26),"",IFERROR(_xlfn.XLOOKUP(I26,Справ_ВидыПремий!$B:$B,Справ_ВидыПремий!$F:$F)&amp;"",""))</f>
        <v/>
      </c>
      <c r="M26" t="str">
        <f>IF(ISBLANK(I26),"",IFERROR(_xlfn.XLOOKUP(I26,Справ_ВидыПремий!$B:$B,Справ_ВидыПремий!$G:$G)&amp;"",""))</f>
        <v/>
      </c>
      <c r="N26" t="str">
        <f>IF(ISBLANK(I26),"",IFERROR(_xlfn.XLOOKUP(I26,Справ_ВидыПремий!$B:$B,Справ_ВидыПремий!$H:$H)&amp;"",""))</f>
        <v/>
      </c>
      <c r="P26" t="str">
        <f>IF(ISBLANK(A26),"",IFERROR(_xlfn.XLOOKUP(A26,Периоды!$A:$A,Периоды!$B:$B),""))</f>
        <v/>
      </c>
      <c r="Q26" t="str">
        <f t="shared" ca="1" si="0"/>
        <v/>
      </c>
      <c r="R26" t="str">
        <f>IF(ISBLANK(I26),"",IFERROR(_xlfn.XLOOKUP(I26,Справ_ВидыПремий!$B:$B,Справ_ВидыПремий!$I:$I),""))</f>
        <v/>
      </c>
    </row>
    <row r="27" spans="1:18" x14ac:dyDescent="0.3">
      <c r="A27" s="11"/>
      <c r="C27" t="str">
        <f>IF(ISBLANK(B27),"",IFERROR(_xlfn.XLOOKUP(B27,Справ_Сотрудников!$B:$B,Справ_Сотрудников!$A:$A),""))</f>
        <v/>
      </c>
      <c r="D27" t="str">
        <f>IF(ISBLANK(B27),"",IFERROR(_xlfn.XLOOKUP(B27,Справ_Сотрудников!$B:$B,Справ_Сотрудников!$C:$C),""))</f>
        <v/>
      </c>
      <c r="E27" t="str">
        <f>IF(ISBLANK(B27),"",IFERROR(_xlfn.XLOOKUP(B27,Справ_Сотрудников!$B:$B,Справ_Сотрудников!$D:$D),""))</f>
        <v/>
      </c>
      <c r="F27" t="str">
        <f>IF(ISBLANK(B27),"",IFERROR(_xlfn.XLOOKUP(B27,Справ_Сотрудников!$B:$B,Справ_Сотрудников!$E:$E),""))</f>
        <v/>
      </c>
      <c r="G27" t="str">
        <f>IF(ISBLANK(B27),"",IFERROR(_xlfn.XLOOKUP(B27,Справ_Сотрудников!$B:$B,Справ_Сотрудников!$F:$F),""))</f>
        <v/>
      </c>
      <c r="H27" t="str">
        <f>IF(ISBLANK(B27),"",IFERROR(_xlfn.XLOOKUP(B27,Справ_Сотрудников!$B:$B,Справ_Сотрудников!$G:$G),""))</f>
        <v/>
      </c>
      <c r="J27" t="str">
        <f>IF(ISBLANK(I27),"",IFERROR(_xlfn.XLOOKUP(I27,Справ_ВидыПремий!$B:$B,Справ_ВидыПремий!$E:$E)&amp;"",""))</f>
        <v/>
      </c>
      <c r="K27" t="str">
        <f>IF(ISBLANK(I27),"",IFERROR(_xlfn.XLOOKUP(I27,Справ_ВидыПремий!$B:$B,Справ_ВидыПремий!$F:$F)&amp;"",""))</f>
        <v/>
      </c>
      <c r="M27" t="str">
        <f>IF(ISBLANK(I27),"",IFERROR(_xlfn.XLOOKUP(I27,Справ_ВидыПремий!$B:$B,Справ_ВидыПремий!$G:$G)&amp;"",""))</f>
        <v/>
      </c>
      <c r="N27" t="str">
        <f>IF(ISBLANK(I27),"",IFERROR(_xlfn.XLOOKUP(I27,Справ_ВидыПремий!$B:$B,Справ_ВидыПремий!$H:$H)&amp;"",""))</f>
        <v/>
      </c>
      <c r="P27" t="str">
        <f>IF(ISBLANK(A27),"",IFERROR(_xlfn.XLOOKUP(A27,Периоды!$A:$A,Периоды!$B:$B),""))</f>
        <v/>
      </c>
      <c r="Q27" t="str">
        <f t="shared" ca="1" si="0"/>
        <v/>
      </c>
      <c r="R27" t="str">
        <f>IF(ISBLANK(I27),"",IFERROR(_xlfn.XLOOKUP(I27,Справ_ВидыПремий!$B:$B,Справ_ВидыПремий!$I:$I),""))</f>
        <v/>
      </c>
    </row>
    <row r="28" spans="1:18" x14ac:dyDescent="0.3">
      <c r="A28" s="11"/>
      <c r="C28" t="str">
        <f>IF(ISBLANK(B28),"",IFERROR(_xlfn.XLOOKUP(B28,Справ_Сотрудников!$B:$B,Справ_Сотрудников!$A:$A),""))</f>
        <v/>
      </c>
      <c r="D28" t="str">
        <f>IF(ISBLANK(B28),"",IFERROR(_xlfn.XLOOKUP(B28,Справ_Сотрудников!$B:$B,Справ_Сотрудников!$C:$C),""))</f>
        <v/>
      </c>
      <c r="E28" t="str">
        <f>IF(ISBLANK(B28),"",IFERROR(_xlfn.XLOOKUP(B28,Справ_Сотрудников!$B:$B,Справ_Сотрудников!$D:$D),""))</f>
        <v/>
      </c>
      <c r="F28" t="str">
        <f>IF(ISBLANK(B28),"",IFERROR(_xlfn.XLOOKUP(B28,Справ_Сотрудников!$B:$B,Справ_Сотрудников!$E:$E),""))</f>
        <v/>
      </c>
      <c r="G28" t="str">
        <f>IF(ISBLANK(B28),"",IFERROR(_xlfn.XLOOKUP(B28,Справ_Сотрудников!$B:$B,Справ_Сотрудников!$F:$F),""))</f>
        <v/>
      </c>
      <c r="H28" t="str">
        <f>IF(ISBLANK(B28),"",IFERROR(_xlfn.XLOOKUP(B28,Справ_Сотрудников!$B:$B,Справ_Сотрудников!$G:$G),""))</f>
        <v/>
      </c>
      <c r="J28" t="str">
        <f>IF(ISBLANK(I28),"",IFERROR(_xlfn.XLOOKUP(I28,Справ_ВидыПремий!$B:$B,Справ_ВидыПремий!$E:$E)&amp;"",""))</f>
        <v/>
      </c>
      <c r="K28" t="str">
        <f>IF(ISBLANK(I28),"",IFERROR(_xlfn.XLOOKUP(I28,Справ_ВидыПремий!$B:$B,Справ_ВидыПремий!$F:$F)&amp;"",""))</f>
        <v/>
      </c>
      <c r="M28" t="str">
        <f>IF(ISBLANK(I28),"",IFERROR(_xlfn.XLOOKUP(I28,Справ_ВидыПремий!$B:$B,Справ_ВидыПремий!$G:$G)&amp;"",""))</f>
        <v/>
      </c>
      <c r="N28" t="str">
        <f>IF(ISBLANK(I28),"",IFERROR(_xlfn.XLOOKUP(I28,Справ_ВидыПремий!$B:$B,Справ_ВидыПремий!$H:$H)&amp;"",""))</f>
        <v/>
      </c>
      <c r="P28" t="str">
        <f>IF(ISBLANK(A28),"",IFERROR(_xlfn.XLOOKUP(A28,Периоды!$A:$A,Периоды!$B:$B),""))</f>
        <v/>
      </c>
      <c r="Q28" t="str">
        <f t="shared" ca="1" si="0"/>
        <v/>
      </c>
      <c r="R28" t="str">
        <f>IF(ISBLANK(I28),"",IFERROR(_xlfn.XLOOKUP(I28,Справ_ВидыПремий!$B:$B,Справ_ВидыПремий!$I:$I),""))</f>
        <v/>
      </c>
    </row>
    <row r="29" spans="1:18" x14ac:dyDescent="0.3">
      <c r="A29" s="11"/>
      <c r="C29" t="str">
        <f>IF(ISBLANK(B29),"",IFERROR(_xlfn.XLOOKUP(B29,Справ_Сотрудников!$B:$B,Справ_Сотрудников!$A:$A),""))</f>
        <v/>
      </c>
      <c r="D29" t="str">
        <f>IF(ISBLANK(B29),"",IFERROR(_xlfn.XLOOKUP(B29,Справ_Сотрудников!$B:$B,Справ_Сотрудников!$C:$C),""))</f>
        <v/>
      </c>
      <c r="E29" t="str">
        <f>IF(ISBLANK(B29),"",IFERROR(_xlfn.XLOOKUP(B29,Справ_Сотрудников!$B:$B,Справ_Сотрудников!$D:$D),""))</f>
        <v/>
      </c>
      <c r="F29" t="str">
        <f>IF(ISBLANK(B29),"",IFERROR(_xlfn.XLOOKUP(B29,Справ_Сотрудников!$B:$B,Справ_Сотрудников!$E:$E),""))</f>
        <v/>
      </c>
      <c r="G29" t="str">
        <f>IF(ISBLANK(B29),"",IFERROR(_xlfn.XLOOKUP(B29,Справ_Сотрудников!$B:$B,Справ_Сотрудников!$F:$F),""))</f>
        <v/>
      </c>
      <c r="H29" t="str">
        <f>IF(ISBLANK(B29),"",IFERROR(_xlfn.XLOOKUP(B29,Справ_Сотрудников!$B:$B,Справ_Сотрудников!$G:$G),""))</f>
        <v/>
      </c>
      <c r="J29" t="str">
        <f>IF(ISBLANK(I29),"",IFERROR(_xlfn.XLOOKUP(I29,Справ_ВидыПремий!$B:$B,Справ_ВидыПремий!$E:$E)&amp;"",""))</f>
        <v/>
      </c>
      <c r="K29" t="str">
        <f>IF(ISBLANK(I29),"",IFERROR(_xlfn.XLOOKUP(I29,Справ_ВидыПремий!$B:$B,Справ_ВидыПремий!$F:$F)&amp;"",""))</f>
        <v/>
      </c>
      <c r="M29" t="str">
        <f>IF(ISBLANK(I29),"",IFERROR(_xlfn.XLOOKUP(I29,Справ_ВидыПремий!$B:$B,Справ_ВидыПремий!$G:$G)&amp;"",""))</f>
        <v/>
      </c>
      <c r="N29" t="str">
        <f>IF(ISBLANK(I29),"",IFERROR(_xlfn.XLOOKUP(I29,Справ_ВидыПремий!$B:$B,Справ_ВидыПремий!$H:$H)&amp;"",""))</f>
        <v/>
      </c>
      <c r="P29" t="str">
        <f>IF(ISBLANK(A29),"",IFERROR(_xlfn.XLOOKUP(A29,Периоды!$A:$A,Периоды!$B:$B),""))</f>
        <v/>
      </c>
      <c r="Q29" t="str">
        <f t="shared" ca="1" si="0"/>
        <v/>
      </c>
      <c r="R29" t="str">
        <f>IF(ISBLANK(I29),"",IFERROR(_xlfn.XLOOKUP(I29,Справ_ВидыПремий!$B:$B,Справ_ВидыПремий!$I:$I),""))</f>
        <v/>
      </c>
    </row>
    <row r="30" spans="1:18" x14ac:dyDescent="0.3">
      <c r="A30" s="11"/>
      <c r="C30" t="str">
        <f>IF(ISBLANK(B30),"",IFERROR(_xlfn.XLOOKUP(B30,Справ_Сотрудников!$B:$B,Справ_Сотрудников!$A:$A),""))</f>
        <v/>
      </c>
      <c r="D30" t="str">
        <f>IF(ISBLANK(B30),"",IFERROR(_xlfn.XLOOKUP(B30,Справ_Сотрудников!$B:$B,Справ_Сотрудников!$C:$C),""))</f>
        <v/>
      </c>
      <c r="E30" t="str">
        <f>IF(ISBLANK(B30),"",IFERROR(_xlfn.XLOOKUP(B30,Справ_Сотрудников!$B:$B,Справ_Сотрудников!$D:$D),""))</f>
        <v/>
      </c>
      <c r="F30" t="str">
        <f>IF(ISBLANK(B30),"",IFERROR(_xlfn.XLOOKUP(B30,Справ_Сотрудников!$B:$B,Справ_Сотрудников!$E:$E),""))</f>
        <v/>
      </c>
      <c r="G30" t="str">
        <f>IF(ISBLANK(B30),"",IFERROR(_xlfn.XLOOKUP(B30,Справ_Сотрудников!$B:$B,Справ_Сотрудников!$F:$F),""))</f>
        <v/>
      </c>
      <c r="H30" t="str">
        <f>IF(ISBLANK(B30),"",IFERROR(_xlfn.XLOOKUP(B30,Справ_Сотрудников!$B:$B,Справ_Сотрудников!$G:$G),""))</f>
        <v/>
      </c>
      <c r="J30" t="str">
        <f>IF(ISBLANK(I30),"",IFERROR(_xlfn.XLOOKUP(I30,Справ_ВидыПремий!$B:$B,Справ_ВидыПремий!$E:$E)&amp;"",""))</f>
        <v/>
      </c>
      <c r="K30" t="str">
        <f>IF(ISBLANK(I30),"",IFERROR(_xlfn.XLOOKUP(I30,Справ_ВидыПремий!$B:$B,Справ_ВидыПремий!$F:$F)&amp;"",""))</f>
        <v/>
      </c>
      <c r="M30" t="str">
        <f>IF(ISBLANK(I30),"",IFERROR(_xlfn.XLOOKUP(I30,Справ_ВидыПремий!$B:$B,Справ_ВидыПремий!$G:$G)&amp;"",""))</f>
        <v/>
      </c>
      <c r="N30" t="str">
        <f>IF(ISBLANK(I30),"",IFERROR(_xlfn.XLOOKUP(I30,Справ_ВидыПремий!$B:$B,Справ_ВидыПремий!$H:$H)&amp;"",""))</f>
        <v/>
      </c>
      <c r="P30" t="str">
        <f>IF(ISBLANK(A30),"",IFERROR(_xlfn.XLOOKUP(A30,Периоды!$A:$A,Периоды!$B:$B),""))</f>
        <v/>
      </c>
      <c r="Q30" t="str">
        <f t="shared" ca="1" si="0"/>
        <v/>
      </c>
      <c r="R30" t="str">
        <f>IF(ISBLANK(I30),"",IFERROR(_xlfn.XLOOKUP(I30,Справ_ВидыПремий!$B:$B,Справ_ВидыПремий!$I:$I),""))</f>
        <v/>
      </c>
    </row>
    <row r="31" spans="1:18" x14ac:dyDescent="0.3">
      <c r="A31" s="11"/>
      <c r="C31" t="str">
        <f>IF(ISBLANK(B31),"",IFERROR(_xlfn.XLOOKUP(B31,Справ_Сотрудников!$B:$B,Справ_Сотрудников!$A:$A),""))</f>
        <v/>
      </c>
      <c r="D31" t="str">
        <f>IF(ISBLANK(B31),"",IFERROR(_xlfn.XLOOKUP(B31,Справ_Сотрудников!$B:$B,Справ_Сотрудников!$C:$C),""))</f>
        <v/>
      </c>
      <c r="E31" t="str">
        <f>IF(ISBLANK(B31),"",IFERROR(_xlfn.XLOOKUP(B31,Справ_Сотрудников!$B:$B,Справ_Сотрудников!$D:$D),""))</f>
        <v/>
      </c>
      <c r="F31" t="str">
        <f>IF(ISBLANK(B31),"",IFERROR(_xlfn.XLOOKUP(B31,Справ_Сотрудников!$B:$B,Справ_Сотрудников!$E:$E),""))</f>
        <v/>
      </c>
      <c r="G31" t="str">
        <f>IF(ISBLANK(B31),"",IFERROR(_xlfn.XLOOKUP(B31,Справ_Сотрудников!$B:$B,Справ_Сотрудников!$F:$F),""))</f>
        <v/>
      </c>
      <c r="H31" t="str">
        <f>IF(ISBLANK(B31),"",IFERROR(_xlfn.XLOOKUP(B31,Справ_Сотрудников!$B:$B,Справ_Сотрудников!$G:$G),""))</f>
        <v/>
      </c>
      <c r="J31" t="str">
        <f>IF(ISBLANK(I31),"",IFERROR(_xlfn.XLOOKUP(I31,Справ_ВидыПремий!$B:$B,Справ_ВидыПремий!$E:$E)&amp;"",""))</f>
        <v/>
      </c>
      <c r="K31" t="str">
        <f>IF(ISBLANK(I31),"",IFERROR(_xlfn.XLOOKUP(I31,Справ_ВидыПремий!$B:$B,Справ_ВидыПремий!$F:$F)&amp;"",""))</f>
        <v/>
      </c>
      <c r="M31" t="str">
        <f>IF(ISBLANK(I31),"",IFERROR(_xlfn.XLOOKUP(I31,Справ_ВидыПремий!$B:$B,Справ_ВидыПремий!$G:$G)&amp;"",""))</f>
        <v/>
      </c>
      <c r="N31" t="str">
        <f>IF(ISBLANK(I31),"",IFERROR(_xlfn.XLOOKUP(I31,Справ_ВидыПремий!$B:$B,Справ_ВидыПремий!$H:$H)&amp;"",""))</f>
        <v/>
      </c>
      <c r="P31" t="str">
        <f>IF(ISBLANK(A31),"",IFERROR(_xlfn.XLOOKUP(A31,Периоды!$A:$A,Периоды!$B:$B),""))</f>
        <v/>
      </c>
      <c r="Q31" t="str">
        <f t="shared" ca="1" si="0"/>
        <v/>
      </c>
      <c r="R31" t="str">
        <f>IF(ISBLANK(I31),"",IFERROR(_xlfn.XLOOKUP(I31,Справ_ВидыПремий!$B:$B,Справ_ВидыПремий!$I:$I),""))</f>
        <v/>
      </c>
    </row>
    <row r="32" spans="1:18" x14ac:dyDescent="0.3">
      <c r="A32" s="11"/>
      <c r="C32" t="str">
        <f>IF(ISBLANK(B32),"",IFERROR(_xlfn.XLOOKUP(B32,Справ_Сотрудников!$B:$B,Справ_Сотрудников!$A:$A),""))</f>
        <v/>
      </c>
      <c r="D32" t="str">
        <f>IF(ISBLANK(B32),"",IFERROR(_xlfn.XLOOKUP(B32,Справ_Сотрудников!$B:$B,Справ_Сотрудников!$C:$C),""))</f>
        <v/>
      </c>
      <c r="E32" t="str">
        <f>IF(ISBLANK(B32),"",IFERROR(_xlfn.XLOOKUP(B32,Справ_Сотрудников!$B:$B,Справ_Сотрудников!$D:$D),""))</f>
        <v/>
      </c>
      <c r="F32" t="str">
        <f>IF(ISBLANK(B32),"",IFERROR(_xlfn.XLOOKUP(B32,Справ_Сотрудников!$B:$B,Справ_Сотрудников!$E:$E),""))</f>
        <v/>
      </c>
      <c r="G32" t="str">
        <f>IF(ISBLANK(B32),"",IFERROR(_xlfn.XLOOKUP(B32,Справ_Сотрудников!$B:$B,Справ_Сотрудников!$F:$F),""))</f>
        <v/>
      </c>
      <c r="H32" t="str">
        <f>IF(ISBLANK(B32),"",IFERROR(_xlfn.XLOOKUP(B32,Справ_Сотрудников!$B:$B,Справ_Сотрудников!$G:$G),""))</f>
        <v/>
      </c>
      <c r="J32" t="str">
        <f>IF(ISBLANK(I32),"",IFERROR(_xlfn.XLOOKUP(I32,Справ_ВидыПремий!$B:$B,Справ_ВидыПремий!$E:$E)&amp;"",""))</f>
        <v/>
      </c>
      <c r="K32" t="str">
        <f>IF(ISBLANK(I32),"",IFERROR(_xlfn.XLOOKUP(I32,Справ_ВидыПремий!$B:$B,Справ_ВидыПремий!$F:$F)&amp;"",""))</f>
        <v/>
      </c>
      <c r="M32" t="str">
        <f>IF(ISBLANK(I32),"",IFERROR(_xlfn.XLOOKUP(I32,Справ_ВидыПремий!$B:$B,Справ_ВидыПремий!$G:$G)&amp;"",""))</f>
        <v/>
      </c>
      <c r="N32" t="str">
        <f>IF(ISBLANK(I32),"",IFERROR(_xlfn.XLOOKUP(I32,Справ_ВидыПремий!$B:$B,Справ_ВидыПремий!$H:$H)&amp;"",""))</f>
        <v/>
      </c>
      <c r="P32" t="str">
        <f>IF(ISBLANK(A32),"",IFERROR(_xlfn.XLOOKUP(A32,Периоды!$A:$A,Периоды!$B:$B),""))</f>
        <v/>
      </c>
      <c r="Q32" t="str">
        <f t="shared" ca="1" si="0"/>
        <v/>
      </c>
      <c r="R32" t="str">
        <f>IF(ISBLANK(I32),"",IFERROR(_xlfn.XLOOKUP(I32,Справ_ВидыПремий!$B:$B,Справ_ВидыПремий!$I:$I),""))</f>
        <v/>
      </c>
    </row>
    <row r="33" spans="1:18" x14ac:dyDescent="0.3">
      <c r="A33" s="11"/>
      <c r="C33" t="str">
        <f>IF(ISBLANK(B33),"",IFERROR(_xlfn.XLOOKUP(B33,Справ_Сотрудников!$B:$B,Справ_Сотрудников!$A:$A),""))</f>
        <v/>
      </c>
      <c r="D33" t="str">
        <f>IF(ISBLANK(B33),"",IFERROR(_xlfn.XLOOKUP(B33,Справ_Сотрудников!$B:$B,Справ_Сотрудников!$C:$C),""))</f>
        <v/>
      </c>
      <c r="E33" t="str">
        <f>IF(ISBLANK(B33),"",IFERROR(_xlfn.XLOOKUP(B33,Справ_Сотрудников!$B:$B,Справ_Сотрудников!$D:$D),""))</f>
        <v/>
      </c>
      <c r="F33" t="str">
        <f>IF(ISBLANK(B33),"",IFERROR(_xlfn.XLOOKUP(B33,Справ_Сотрудников!$B:$B,Справ_Сотрудников!$E:$E),""))</f>
        <v/>
      </c>
      <c r="G33" t="str">
        <f>IF(ISBLANK(B33),"",IFERROR(_xlfn.XLOOKUP(B33,Справ_Сотрудников!$B:$B,Справ_Сотрудников!$F:$F),""))</f>
        <v/>
      </c>
      <c r="H33" t="str">
        <f>IF(ISBLANK(B33),"",IFERROR(_xlfn.XLOOKUP(B33,Справ_Сотрудников!$B:$B,Справ_Сотрудников!$G:$G),""))</f>
        <v/>
      </c>
      <c r="J33" t="str">
        <f>IF(ISBLANK(I33),"",IFERROR(_xlfn.XLOOKUP(I33,Справ_ВидыПремий!$B:$B,Справ_ВидыПремий!$E:$E)&amp;"",""))</f>
        <v/>
      </c>
      <c r="K33" t="str">
        <f>IF(ISBLANK(I33),"",IFERROR(_xlfn.XLOOKUP(I33,Справ_ВидыПремий!$B:$B,Справ_ВидыПремий!$F:$F)&amp;"",""))</f>
        <v/>
      </c>
      <c r="M33" t="str">
        <f>IF(ISBLANK(I33),"",IFERROR(_xlfn.XLOOKUP(I33,Справ_ВидыПремий!$B:$B,Справ_ВидыПремий!$G:$G)&amp;"",""))</f>
        <v/>
      </c>
      <c r="N33" t="str">
        <f>IF(ISBLANK(I33),"",IFERROR(_xlfn.XLOOKUP(I33,Справ_ВидыПремий!$B:$B,Справ_ВидыПремий!$H:$H)&amp;"",""))</f>
        <v/>
      </c>
      <c r="P33" t="str">
        <f>IF(ISBLANK(A33),"",IFERROR(_xlfn.XLOOKUP(A33,Периоды!$A:$A,Периоды!$B:$B),""))</f>
        <v/>
      </c>
      <c r="Q33" t="str">
        <f t="shared" ca="1" si="0"/>
        <v/>
      </c>
      <c r="R33" t="str">
        <f>IF(ISBLANK(I33),"",IFERROR(_xlfn.XLOOKUP(I33,Справ_ВидыПремий!$B:$B,Справ_ВидыПремий!$I:$I),""))</f>
        <v/>
      </c>
    </row>
    <row r="34" spans="1:18" x14ac:dyDescent="0.3">
      <c r="A34" s="11"/>
      <c r="C34" t="str">
        <f>IF(ISBLANK(B34),"",IFERROR(_xlfn.XLOOKUP(B34,Справ_Сотрудников!$B:$B,Справ_Сотрудников!$A:$A),""))</f>
        <v/>
      </c>
      <c r="D34" t="str">
        <f>IF(ISBLANK(B34),"",IFERROR(_xlfn.XLOOKUP(B34,Справ_Сотрудников!$B:$B,Справ_Сотрудников!$C:$C),""))</f>
        <v/>
      </c>
      <c r="E34" t="str">
        <f>IF(ISBLANK(B34),"",IFERROR(_xlfn.XLOOKUP(B34,Справ_Сотрудников!$B:$B,Справ_Сотрудников!$D:$D),""))</f>
        <v/>
      </c>
      <c r="F34" t="str">
        <f>IF(ISBLANK(B34),"",IFERROR(_xlfn.XLOOKUP(B34,Справ_Сотрудников!$B:$B,Справ_Сотрудников!$E:$E),""))</f>
        <v/>
      </c>
      <c r="G34" t="str">
        <f>IF(ISBLANK(B34),"",IFERROR(_xlfn.XLOOKUP(B34,Справ_Сотрудников!$B:$B,Справ_Сотрудников!$F:$F),""))</f>
        <v/>
      </c>
      <c r="H34" t="str">
        <f>IF(ISBLANK(B34),"",IFERROR(_xlfn.XLOOKUP(B34,Справ_Сотрудников!$B:$B,Справ_Сотрудников!$G:$G),""))</f>
        <v/>
      </c>
      <c r="J34" t="str">
        <f>IF(ISBLANK(I34),"",IFERROR(_xlfn.XLOOKUP(I34,Справ_ВидыПремий!$B:$B,Справ_ВидыПремий!$E:$E)&amp;"",""))</f>
        <v/>
      </c>
      <c r="K34" t="str">
        <f>IF(ISBLANK(I34),"",IFERROR(_xlfn.XLOOKUP(I34,Справ_ВидыПремий!$B:$B,Справ_ВидыПремий!$F:$F)&amp;"",""))</f>
        <v/>
      </c>
      <c r="M34" t="str">
        <f>IF(ISBLANK(I34),"",IFERROR(_xlfn.XLOOKUP(I34,Справ_ВидыПремий!$B:$B,Справ_ВидыПремий!$G:$G)&amp;"",""))</f>
        <v/>
      </c>
      <c r="N34" t="str">
        <f>IF(ISBLANK(I34),"",IFERROR(_xlfn.XLOOKUP(I34,Справ_ВидыПремий!$B:$B,Справ_ВидыПремий!$H:$H)&amp;"",""))</f>
        <v/>
      </c>
      <c r="P34" t="str">
        <f>IF(ISBLANK(A34),"",IFERROR(_xlfn.XLOOKUP(A34,Периоды!$A:$A,Периоды!$B:$B),""))</f>
        <v/>
      </c>
      <c r="Q34" t="str">
        <f t="shared" ref="Q34:Q65" ca="1" si="1">IF(OR(ISBLANK(I34),R34="",ISBLANK(L34)),"",ROUND(IF(IFERROR(_xlfn.XLOOKUP(L34,INDIRECT("'"&amp;R34&amp;"'!$C:$C"),INDIRECT("'"&amp;R34&amp;"'!$G:$G"),"",-1),"")="% выполнения",L34/100,IFERROR(_xlfn.XLOOKUP(L34,INDIRECT("'"&amp;R34&amp;"'!$C:$C"),INDIRECT("'"&amp;R34&amp;"'!$E:$E"),0,-1),0))*IF(ISBLANK(O34),L34,O34)+IFERROR(_xlfn.XLOOKUP(L34,INDIRECT("'"&amp;R34&amp;"'!$C:$C"),INDIRECT("'"&amp;R34&amp;"'!$F:$F"),0,-1),0),2))</f>
        <v/>
      </c>
      <c r="R34" t="str">
        <f>IF(ISBLANK(I34),"",IFERROR(_xlfn.XLOOKUP(I34,Справ_ВидыПремий!$B:$B,Справ_ВидыПремий!$I:$I),""))</f>
        <v/>
      </c>
    </row>
    <row r="35" spans="1:18" x14ac:dyDescent="0.3">
      <c r="A35" s="11"/>
      <c r="C35" t="str">
        <f>IF(ISBLANK(B35),"",IFERROR(_xlfn.XLOOKUP(B35,Справ_Сотрудников!$B:$B,Справ_Сотрудников!$A:$A),""))</f>
        <v/>
      </c>
      <c r="D35" t="str">
        <f>IF(ISBLANK(B35),"",IFERROR(_xlfn.XLOOKUP(B35,Справ_Сотрудников!$B:$B,Справ_Сотрудников!$C:$C),""))</f>
        <v/>
      </c>
      <c r="E35" t="str">
        <f>IF(ISBLANK(B35),"",IFERROR(_xlfn.XLOOKUP(B35,Справ_Сотрудников!$B:$B,Справ_Сотрудников!$D:$D),""))</f>
        <v/>
      </c>
      <c r="F35" t="str">
        <f>IF(ISBLANK(B35),"",IFERROR(_xlfn.XLOOKUP(B35,Справ_Сотрудников!$B:$B,Справ_Сотрудников!$E:$E),""))</f>
        <v/>
      </c>
      <c r="G35" t="str">
        <f>IF(ISBLANK(B35),"",IFERROR(_xlfn.XLOOKUP(B35,Справ_Сотрудников!$B:$B,Справ_Сотрудников!$F:$F),""))</f>
        <v/>
      </c>
      <c r="H35" t="str">
        <f>IF(ISBLANK(B35),"",IFERROR(_xlfn.XLOOKUP(B35,Справ_Сотрудников!$B:$B,Справ_Сотрудников!$G:$G),""))</f>
        <v/>
      </c>
      <c r="J35" t="str">
        <f>IF(ISBLANK(I35),"",IFERROR(_xlfn.XLOOKUP(I35,Справ_ВидыПремий!$B:$B,Справ_ВидыПремий!$E:$E)&amp;"",""))</f>
        <v/>
      </c>
      <c r="K35" t="str">
        <f>IF(ISBLANK(I35),"",IFERROR(_xlfn.XLOOKUP(I35,Справ_ВидыПремий!$B:$B,Справ_ВидыПремий!$F:$F)&amp;"",""))</f>
        <v/>
      </c>
      <c r="M35" t="str">
        <f>IF(ISBLANK(I35),"",IFERROR(_xlfn.XLOOKUP(I35,Справ_ВидыПремий!$B:$B,Справ_ВидыПремий!$G:$G)&amp;"",""))</f>
        <v/>
      </c>
      <c r="N35" t="str">
        <f>IF(ISBLANK(I35),"",IFERROR(_xlfn.XLOOKUP(I35,Справ_ВидыПремий!$B:$B,Справ_ВидыПремий!$H:$H)&amp;"",""))</f>
        <v/>
      </c>
      <c r="P35" t="str">
        <f>IF(ISBLANK(A35),"",IFERROR(_xlfn.XLOOKUP(A35,Периоды!$A:$A,Периоды!$B:$B),""))</f>
        <v/>
      </c>
      <c r="Q35" t="str">
        <f t="shared" ca="1" si="1"/>
        <v/>
      </c>
      <c r="R35" t="str">
        <f>IF(ISBLANK(I35),"",IFERROR(_xlfn.XLOOKUP(I35,Справ_ВидыПремий!$B:$B,Справ_ВидыПремий!$I:$I),""))</f>
        <v/>
      </c>
    </row>
    <row r="36" spans="1:18" x14ac:dyDescent="0.3">
      <c r="A36" s="11"/>
      <c r="C36" t="str">
        <f>IF(ISBLANK(B36),"",IFERROR(_xlfn.XLOOKUP(B36,Справ_Сотрудников!$B:$B,Справ_Сотрудников!$A:$A),""))</f>
        <v/>
      </c>
      <c r="D36" t="str">
        <f>IF(ISBLANK(B36),"",IFERROR(_xlfn.XLOOKUP(B36,Справ_Сотрудников!$B:$B,Справ_Сотрудников!$C:$C),""))</f>
        <v/>
      </c>
      <c r="E36" t="str">
        <f>IF(ISBLANK(B36),"",IFERROR(_xlfn.XLOOKUP(B36,Справ_Сотрудников!$B:$B,Справ_Сотрудников!$D:$D),""))</f>
        <v/>
      </c>
      <c r="F36" t="str">
        <f>IF(ISBLANK(B36),"",IFERROR(_xlfn.XLOOKUP(B36,Справ_Сотрудников!$B:$B,Справ_Сотрудников!$E:$E),""))</f>
        <v/>
      </c>
      <c r="G36" t="str">
        <f>IF(ISBLANK(B36),"",IFERROR(_xlfn.XLOOKUP(B36,Справ_Сотрудников!$B:$B,Справ_Сотрудников!$F:$F),""))</f>
        <v/>
      </c>
      <c r="H36" t="str">
        <f>IF(ISBLANK(B36),"",IFERROR(_xlfn.XLOOKUP(B36,Справ_Сотрудников!$B:$B,Справ_Сотрудников!$G:$G),""))</f>
        <v/>
      </c>
      <c r="J36" t="str">
        <f>IF(ISBLANK(I36),"",IFERROR(_xlfn.XLOOKUP(I36,Справ_ВидыПремий!$B:$B,Справ_ВидыПремий!$E:$E)&amp;"",""))</f>
        <v/>
      </c>
      <c r="K36" t="str">
        <f>IF(ISBLANK(I36),"",IFERROR(_xlfn.XLOOKUP(I36,Справ_ВидыПремий!$B:$B,Справ_ВидыПремий!$F:$F)&amp;"",""))</f>
        <v/>
      </c>
      <c r="M36" t="str">
        <f>IF(ISBLANK(I36),"",IFERROR(_xlfn.XLOOKUP(I36,Справ_ВидыПремий!$B:$B,Справ_ВидыПремий!$G:$G)&amp;"",""))</f>
        <v/>
      </c>
      <c r="N36" t="str">
        <f>IF(ISBLANK(I36),"",IFERROR(_xlfn.XLOOKUP(I36,Справ_ВидыПремий!$B:$B,Справ_ВидыПремий!$H:$H)&amp;"",""))</f>
        <v/>
      </c>
      <c r="P36" t="str">
        <f>IF(ISBLANK(A36),"",IFERROR(_xlfn.XLOOKUP(A36,Периоды!$A:$A,Периоды!$B:$B),""))</f>
        <v/>
      </c>
      <c r="Q36" t="str">
        <f t="shared" ca="1" si="1"/>
        <v/>
      </c>
      <c r="R36" t="str">
        <f>IF(ISBLANK(I36),"",IFERROR(_xlfn.XLOOKUP(I36,Справ_ВидыПремий!$B:$B,Справ_ВидыПремий!$I:$I),""))</f>
        <v/>
      </c>
    </row>
    <row r="37" spans="1:18" x14ac:dyDescent="0.3">
      <c r="A37" s="11"/>
      <c r="C37" t="str">
        <f>IF(ISBLANK(B37),"",IFERROR(_xlfn.XLOOKUP(B37,Справ_Сотрудников!$B:$B,Справ_Сотрудников!$A:$A),""))</f>
        <v/>
      </c>
      <c r="D37" t="str">
        <f>IF(ISBLANK(B37),"",IFERROR(_xlfn.XLOOKUP(B37,Справ_Сотрудников!$B:$B,Справ_Сотрудников!$C:$C),""))</f>
        <v/>
      </c>
      <c r="E37" t="str">
        <f>IF(ISBLANK(B37),"",IFERROR(_xlfn.XLOOKUP(B37,Справ_Сотрудников!$B:$B,Справ_Сотрудников!$D:$D),""))</f>
        <v/>
      </c>
      <c r="F37" t="str">
        <f>IF(ISBLANK(B37),"",IFERROR(_xlfn.XLOOKUP(B37,Справ_Сотрудников!$B:$B,Справ_Сотрудников!$E:$E),""))</f>
        <v/>
      </c>
      <c r="G37" t="str">
        <f>IF(ISBLANK(B37),"",IFERROR(_xlfn.XLOOKUP(B37,Справ_Сотрудников!$B:$B,Справ_Сотрудников!$F:$F),""))</f>
        <v/>
      </c>
      <c r="H37" t="str">
        <f>IF(ISBLANK(B37),"",IFERROR(_xlfn.XLOOKUP(B37,Справ_Сотрудников!$B:$B,Справ_Сотрудников!$G:$G),""))</f>
        <v/>
      </c>
      <c r="J37" t="str">
        <f>IF(ISBLANK(I37),"",IFERROR(_xlfn.XLOOKUP(I37,Справ_ВидыПремий!$B:$B,Справ_ВидыПремий!$E:$E)&amp;"",""))</f>
        <v/>
      </c>
      <c r="K37" t="str">
        <f>IF(ISBLANK(I37),"",IFERROR(_xlfn.XLOOKUP(I37,Справ_ВидыПремий!$B:$B,Справ_ВидыПремий!$F:$F)&amp;"",""))</f>
        <v/>
      </c>
      <c r="M37" t="str">
        <f>IF(ISBLANK(I37),"",IFERROR(_xlfn.XLOOKUP(I37,Справ_ВидыПремий!$B:$B,Справ_ВидыПремий!$G:$G)&amp;"",""))</f>
        <v/>
      </c>
      <c r="N37" t="str">
        <f>IF(ISBLANK(I37),"",IFERROR(_xlfn.XLOOKUP(I37,Справ_ВидыПремий!$B:$B,Справ_ВидыПремий!$H:$H)&amp;"",""))</f>
        <v/>
      </c>
      <c r="P37" t="str">
        <f>IF(ISBLANK(A37),"",IFERROR(_xlfn.XLOOKUP(A37,Периоды!$A:$A,Периоды!$B:$B),""))</f>
        <v/>
      </c>
      <c r="Q37" t="str">
        <f t="shared" ca="1" si="1"/>
        <v/>
      </c>
      <c r="R37" t="str">
        <f>IF(ISBLANK(I37),"",IFERROR(_xlfn.XLOOKUP(I37,Справ_ВидыПремий!$B:$B,Справ_ВидыПремий!$I:$I),""))</f>
        <v/>
      </c>
    </row>
    <row r="38" spans="1:18" x14ac:dyDescent="0.3">
      <c r="A38" s="11"/>
      <c r="C38" t="str">
        <f>IF(ISBLANK(B38),"",IFERROR(_xlfn.XLOOKUP(B38,Справ_Сотрудников!$B:$B,Справ_Сотрудников!$A:$A),""))</f>
        <v/>
      </c>
      <c r="D38" t="str">
        <f>IF(ISBLANK(B38),"",IFERROR(_xlfn.XLOOKUP(B38,Справ_Сотрудников!$B:$B,Справ_Сотрудников!$C:$C),""))</f>
        <v/>
      </c>
      <c r="E38" t="str">
        <f>IF(ISBLANK(B38),"",IFERROR(_xlfn.XLOOKUP(B38,Справ_Сотрудников!$B:$B,Справ_Сотрудников!$D:$D),""))</f>
        <v/>
      </c>
      <c r="F38" t="str">
        <f>IF(ISBLANK(B38),"",IFERROR(_xlfn.XLOOKUP(B38,Справ_Сотрудников!$B:$B,Справ_Сотрудников!$E:$E),""))</f>
        <v/>
      </c>
      <c r="G38" t="str">
        <f>IF(ISBLANK(B38),"",IFERROR(_xlfn.XLOOKUP(B38,Справ_Сотрудников!$B:$B,Справ_Сотрудников!$F:$F),""))</f>
        <v/>
      </c>
      <c r="H38" t="str">
        <f>IF(ISBLANK(B38),"",IFERROR(_xlfn.XLOOKUP(B38,Справ_Сотрудников!$B:$B,Справ_Сотрудников!$G:$G),""))</f>
        <v/>
      </c>
      <c r="J38" t="str">
        <f>IF(ISBLANK(I38),"",IFERROR(_xlfn.XLOOKUP(I38,Справ_ВидыПремий!$B:$B,Справ_ВидыПремий!$E:$E)&amp;"",""))</f>
        <v/>
      </c>
      <c r="K38" t="str">
        <f>IF(ISBLANK(I38),"",IFERROR(_xlfn.XLOOKUP(I38,Справ_ВидыПремий!$B:$B,Справ_ВидыПремий!$F:$F)&amp;"",""))</f>
        <v/>
      </c>
      <c r="M38" t="str">
        <f>IF(ISBLANK(I38),"",IFERROR(_xlfn.XLOOKUP(I38,Справ_ВидыПремий!$B:$B,Справ_ВидыПремий!$G:$G)&amp;"",""))</f>
        <v/>
      </c>
      <c r="N38" t="str">
        <f>IF(ISBLANK(I38),"",IFERROR(_xlfn.XLOOKUP(I38,Справ_ВидыПремий!$B:$B,Справ_ВидыПремий!$H:$H)&amp;"",""))</f>
        <v/>
      </c>
      <c r="P38" t="str">
        <f>IF(ISBLANK(A38),"",IFERROR(_xlfn.XLOOKUP(A38,Периоды!$A:$A,Периоды!$B:$B),""))</f>
        <v/>
      </c>
      <c r="Q38" t="str">
        <f t="shared" ca="1" si="1"/>
        <v/>
      </c>
      <c r="R38" t="str">
        <f>IF(ISBLANK(I38),"",IFERROR(_xlfn.XLOOKUP(I38,Справ_ВидыПремий!$B:$B,Справ_ВидыПремий!$I:$I),""))</f>
        <v/>
      </c>
    </row>
    <row r="39" spans="1:18" x14ac:dyDescent="0.3">
      <c r="A39" s="11"/>
      <c r="C39" t="str">
        <f>IF(ISBLANK(B39),"",IFERROR(_xlfn.XLOOKUP(B39,Справ_Сотрудников!$B:$B,Справ_Сотрудников!$A:$A),""))</f>
        <v/>
      </c>
      <c r="D39" t="str">
        <f>IF(ISBLANK(B39),"",IFERROR(_xlfn.XLOOKUP(B39,Справ_Сотрудников!$B:$B,Справ_Сотрудников!$C:$C),""))</f>
        <v/>
      </c>
      <c r="E39" t="str">
        <f>IF(ISBLANK(B39),"",IFERROR(_xlfn.XLOOKUP(B39,Справ_Сотрудников!$B:$B,Справ_Сотрудников!$D:$D),""))</f>
        <v/>
      </c>
      <c r="F39" t="str">
        <f>IF(ISBLANK(B39),"",IFERROR(_xlfn.XLOOKUP(B39,Справ_Сотрудников!$B:$B,Справ_Сотрудников!$E:$E),""))</f>
        <v/>
      </c>
      <c r="G39" t="str">
        <f>IF(ISBLANK(B39),"",IFERROR(_xlfn.XLOOKUP(B39,Справ_Сотрудников!$B:$B,Справ_Сотрудников!$F:$F),""))</f>
        <v/>
      </c>
      <c r="H39" t="str">
        <f>IF(ISBLANK(B39),"",IFERROR(_xlfn.XLOOKUP(B39,Справ_Сотрудников!$B:$B,Справ_Сотрудников!$G:$G),""))</f>
        <v/>
      </c>
      <c r="J39" t="str">
        <f>IF(ISBLANK(I39),"",IFERROR(_xlfn.XLOOKUP(I39,Справ_ВидыПремий!$B:$B,Справ_ВидыПремий!$E:$E)&amp;"",""))</f>
        <v/>
      </c>
      <c r="K39" t="str">
        <f>IF(ISBLANK(I39),"",IFERROR(_xlfn.XLOOKUP(I39,Справ_ВидыПремий!$B:$B,Справ_ВидыПремий!$F:$F)&amp;"",""))</f>
        <v/>
      </c>
      <c r="M39" t="str">
        <f>IF(ISBLANK(I39),"",IFERROR(_xlfn.XLOOKUP(I39,Справ_ВидыПремий!$B:$B,Справ_ВидыПремий!$G:$G)&amp;"",""))</f>
        <v/>
      </c>
      <c r="N39" t="str">
        <f>IF(ISBLANK(I39),"",IFERROR(_xlfn.XLOOKUP(I39,Справ_ВидыПремий!$B:$B,Справ_ВидыПремий!$H:$H)&amp;"",""))</f>
        <v/>
      </c>
      <c r="P39" t="str">
        <f>IF(ISBLANK(A39),"",IFERROR(_xlfn.XLOOKUP(A39,Периоды!$A:$A,Периоды!$B:$B),""))</f>
        <v/>
      </c>
      <c r="Q39" t="str">
        <f t="shared" ca="1" si="1"/>
        <v/>
      </c>
      <c r="R39" t="str">
        <f>IF(ISBLANK(I39),"",IFERROR(_xlfn.XLOOKUP(I39,Справ_ВидыПремий!$B:$B,Справ_ВидыПремий!$I:$I),""))</f>
        <v/>
      </c>
    </row>
    <row r="40" spans="1:18" x14ac:dyDescent="0.3">
      <c r="A40" s="11"/>
      <c r="C40" t="str">
        <f>IF(ISBLANK(B40),"",IFERROR(_xlfn.XLOOKUP(B40,Справ_Сотрудников!$B:$B,Справ_Сотрудников!$A:$A),""))</f>
        <v/>
      </c>
      <c r="D40" t="str">
        <f>IF(ISBLANK(B40),"",IFERROR(_xlfn.XLOOKUP(B40,Справ_Сотрудников!$B:$B,Справ_Сотрудников!$C:$C),""))</f>
        <v/>
      </c>
      <c r="E40" t="str">
        <f>IF(ISBLANK(B40),"",IFERROR(_xlfn.XLOOKUP(B40,Справ_Сотрудников!$B:$B,Справ_Сотрудников!$D:$D),""))</f>
        <v/>
      </c>
      <c r="F40" t="str">
        <f>IF(ISBLANK(B40),"",IFERROR(_xlfn.XLOOKUP(B40,Справ_Сотрудников!$B:$B,Справ_Сотрудников!$E:$E),""))</f>
        <v/>
      </c>
      <c r="G40" t="str">
        <f>IF(ISBLANK(B40),"",IFERROR(_xlfn.XLOOKUP(B40,Справ_Сотрудников!$B:$B,Справ_Сотрудников!$F:$F),""))</f>
        <v/>
      </c>
      <c r="H40" t="str">
        <f>IF(ISBLANK(B40),"",IFERROR(_xlfn.XLOOKUP(B40,Справ_Сотрудников!$B:$B,Справ_Сотрудников!$G:$G),""))</f>
        <v/>
      </c>
      <c r="J40" t="str">
        <f>IF(ISBLANK(I40),"",IFERROR(_xlfn.XLOOKUP(I40,Справ_ВидыПремий!$B:$B,Справ_ВидыПремий!$E:$E)&amp;"",""))</f>
        <v/>
      </c>
      <c r="K40" t="str">
        <f>IF(ISBLANK(I40),"",IFERROR(_xlfn.XLOOKUP(I40,Справ_ВидыПремий!$B:$B,Справ_ВидыПремий!$F:$F)&amp;"",""))</f>
        <v/>
      </c>
      <c r="M40" t="str">
        <f>IF(ISBLANK(I40),"",IFERROR(_xlfn.XLOOKUP(I40,Справ_ВидыПремий!$B:$B,Справ_ВидыПремий!$G:$G)&amp;"",""))</f>
        <v/>
      </c>
      <c r="N40" t="str">
        <f>IF(ISBLANK(I40),"",IFERROR(_xlfn.XLOOKUP(I40,Справ_ВидыПремий!$B:$B,Справ_ВидыПремий!$H:$H)&amp;"",""))</f>
        <v/>
      </c>
      <c r="P40" t="str">
        <f>IF(ISBLANK(A40),"",IFERROR(_xlfn.XLOOKUP(A40,Периоды!$A:$A,Периоды!$B:$B),""))</f>
        <v/>
      </c>
      <c r="Q40" t="str">
        <f t="shared" ca="1" si="1"/>
        <v/>
      </c>
      <c r="R40" t="str">
        <f>IF(ISBLANK(I40),"",IFERROR(_xlfn.XLOOKUP(I40,Справ_ВидыПремий!$B:$B,Справ_ВидыПремий!$I:$I),""))</f>
        <v/>
      </c>
    </row>
    <row r="41" spans="1:18" x14ac:dyDescent="0.3">
      <c r="A41" s="11"/>
      <c r="C41" t="str">
        <f>IF(ISBLANK(B41),"",IFERROR(_xlfn.XLOOKUP(B41,Справ_Сотрудников!$B:$B,Справ_Сотрудников!$A:$A),""))</f>
        <v/>
      </c>
      <c r="D41" t="str">
        <f>IF(ISBLANK(B41),"",IFERROR(_xlfn.XLOOKUP(B41,Справ_Сотрудников!$B:$B,Справ_Сотрудников!$C:$C),""))</f>
        <v/>
      </c>
      <c r="E41" t="str">
        <f>IF(ISBLANK(B41),"",IFERROR(_xlfn.XLOOKUP(B41,Справ_Сотрудников!$B:$B,Справ_Сотрудников!$D:$D),""))</f>
        <v/>
      </c>
      <c r="F41" t="str">
        <f>IF(ISBLANK(B41),"",IFERROR(_xlfn.XLOOKUP(B41,Справ_Сотрудников!$B:$B,Справ_Сотрудников!$E:$E),""))</f>
        <v/>
      </c>
      <c r="G41" t="str">
        <f>IF(ISBLANK(B41),"",IFERROR(_xlfn.XLOOKUP(B41,Справ_Сотрудников!$B:$B,Справ_Сотрудников!$F:$F),""))</f>
        <v/>
      </c>
      <c r="H41" t="str">
        <f>IF(ISBLANK(B41),"",IFERROR(_xlfn.XLOOKUP(B41,Справ_Сотрудников!$B:$B,Справ_Сотрудников!$G:$G),""))</f>
        <v/>
      </c>
      <c r="J41" t="str">
        <f>IF(ISBLANK(I41),"",IFERROR(_xlfn.XLOOKUP(I41,Справ_ВидыПремий!$B:$B,Справ_ВидыПремий!$E:$E)&amp;"",""))</f>
        <v/>
      </c>
      <c r="K41" t="str">
        <f>IF(ISBLANK(I41),"",IFERROR(_xlfn.XLOOKUP(I41,Справ_ВидыПремий!$B:$B,Справ_ВидыПремий!$F:$F)&amp;"",""))</f>
        <v/>
      </c>
      <c r="M41" t="str">
        <f>IF(ISBLANK(I41),"",IFERROR(_xlfn.XLOOKUP(I41,Справ_ВидыПремий!$B:$B,Справ_ВидыПремий!$G:$G)&amp;"",""))</f>
        <v/>
      </c>
      <c r="N41" t="str">
        <f>IF(ISBLANK(I41),"",IFERROR(_xlfn.XLOOKUP(I41,Справ_ВидыПремий!$B:$B,Справ_ВидыПремий!$H:$H)&amp;"",""))</f>
        <v/>
      </c>
      <c r="P41" t="str">
        <f>IF(ISBLANK(A41),"",IFERROR(_xlfn.XLOOKUP(A41,Периоды!$A:$A,Периоды!$B:$B),""))</f>
        <v/>
      </c>
      <c r="Q41" t="str">
        <f t="shared" ca="1" si="1"/>
        <v/>
      </c>
      <c r="R41" t="str">
        <f>IF(ISBLANK(I41),"",IFERROR(_xlfn.XLOOKUP(I41,Справ_ВидыПремий!$B:$B,Справ_ВидыПремий!$I:$I),""))</f>
        <v/>
      </c>
    </row>
    <row r="42" spans="1:18" x14ac:dyDescent="0.3">
      <c r="A42" s="11"/>
      <c r="C42" t="str">
        <f>IF(ISBLANK(B42),"",IFERROR(_xlfn.XLOOKUP(B42,Справ_Сотрудников!$B:$B,Справ_Сотрудников!$A:$A),""))</f>
        <v/>
      </c>
      <c r="D42" t="str">
        <f>IF(ISBLANK(B42),"",IFERROR(_xlfn.XLOOKUP(B42,Справ_Сотрудников!$B:$B,Справ_Сотрудников!$C:$C),""))</f>
        <v/>
      </c>
      <c r="E42" t="str">
        <f>IF(ISBLANK(B42),"",IFERROR(_xlfn.XLOOKUP(B42,Справ_Сотрудников!$B:$B,Справ_Сотрудников!$D:$D),""))</f>
        <v/>
      </c>
      <c r="F42" t="str">
        <f>IF(ISBLANK(B42),"",IFERROR(_xlfn.XLOOKUP(B42,Справ_Сотрудников!$B:$B,Справ_Сотрудников!$E:$E),""))</f>
        <v/>
      </c>
      <c r="G42" t="str">
        <f>IF(ISBLANK(B42),"",IFERROR(_xlfn.XLOOKUP(B42,Справ_Сотрудников!$B:$B,Справ_Сотрудников!$F:$F),""))</f>
        <v/>
      </c>
      <c r="H42" t="str">
        <f>IF(ISBLANK(B42),"",IFERROR(_xlfn.XLOOKUP(B42,Справ_Сотрудников!$B:$B,Справ_Сотрудников!$G:$G),""))</f>
        <v/>
      </c>
      <c r="J42" t="str">
        <f>IF(ISBLANK(I42),"",IFERROR(_xlfn.XLOOKUP(I42,Справ_ВидыПремий!$B:$B,Справ_ВидыПремий!$E:$E)&amp;"",""))</f>
        <v/>
      </c>
      <c r="K42" t="str">
        <f>IF(ISBLANK(I42),"",IFERROR(_xlfn.XLOOKUP(I42,Справ_ВидыПремий!$B:$B,Справ_ВидыПремий!$F:$F)&amp;"",""))</f>
        <v/>
      </c>
      <c r="M42" t="str">
        <f>IF(ISBLANK(I42),"",IFERROR(_xlfn.XLOOKUP(I42,Справ_ВидыПремий!$B:$B,Справ_ВидыПремий!$G:$G)&amp;"",""))</f>
        <v/>
      </c>
      <c r="N42" t="str">
        <f>IF(ISBLANK(I42),"",IFERROR(_xlfn.XLOOKUP(I42,Справ_ВидыПремий!$B:$B,Справ_ВидыПремий!$H:$H)&amp;"",""))</f>
        <v/>
      </c>
      <c r="P42" t="str">
        <f>IF(ISBLANK(A42),"",IFERROR(_xlfn.XLOOKUP(A42,Периоды!$A:$A,Периоды!$B:$B),""))</f>
        <v/>
      </c>
      <c r="Q42" t="str">
        <f t="shared" ca="1" si="1"/>
        <v/>
      </c>
      <c r="R42" t="str">
        <f>IF(ISBLANK(I42),"",IFERROR(_xlfn.XLOOKUP(I42,Справ_ВидыПремий!$B:$B,Справ_ВидыПремий!$I:$I),""))</f>
        <v/>
      </c>
    </row>
    <row r="43" spans="1:18" x14ac:dyDescent="0.3">
      <c r="A43" s="11"/>
      <c r="C43" t="str">
        <f>IF(ISBLANK(B43),"",IFERROR(_xlfn.XLOOKUP(B43,Справ_Сотрудников!$B:$B,Справ_Сотрудников!$A:$A),""))</f>
        <v/>
      </c>
      <c r="D43" t="str">
        <f>IF(ISBLANK(B43),"",IFERROR(_xlfn.XLOOKUP(B43,Справ_Сотрудников!$B:$B,Справ_Сотрудников!$C:$C),""))</f>
        <v/>
      </c>
      <c r="E43" t="str">
        <f>IF(ISBLANK(B43),"",IFERROR(_xlfn.XLOOKUP(B43,Справ_Сотрудников!$B:$B,Справ_Сотрудников!$D:$D),""))</f>
        <v/>
      </c>
      <c r="F43" t="str">
        <f>IF(ISBLANK(B43),"",IFERROR(_xlfn.XLOOKUP(B43,Справ_Сотрудников!$B:$B,Справ_Сотрудников!$E:$E),""))</f>
        <v/>
      </c>
      <c r="G43" t="str">
        <f>IF(ISBLANK(B43),"",IFERROR(_xlfn.XLOOKUP(B43,Справ_Сотрудников!$B:$B,Справ_Сотрудников!$F:$F),""))</f>
        <v/>
      </c>
      <c r="H43" t="str">
        <f>IF(ISBLANK(B43),"",IFERROR(_xlfn.XLOOKUP(B43,Справ_Сотрудников!$B:$B,Справ_Сотрудников!$G:$G),""))</f>
        <v/>
      </c>
      <c r="J43" t="str">
        <f>IF(ISBLANK(I43),"",IFERROR(_xlfn.XLOOKUP(I43,Справ_ВидыПремий!$B:$B,Справ_ВидыПремий!$E:$E)&amp;"",""))</f>
        <v/>
      </c>
      <c r="K43" t="str">
        <f>IF(ISBLANK(I43),"",IFERROR(_xlfn.XLOOKUP(I43,Справ_ВидыПремий!$B:$B,Справ_ВидыПремий!$F:$F)&amp;"",""))</f>
        <v/>
      </c>
      <c r="M43" t="str">
        <f>IF(ISBLANK(I43),"",IFERROR(_xlfn.XLOOKUP(I43,Справ_ВидыПремий!$B:$B,Справ_ВидыПремий!$G:$G)&amp;"",""))</f>
        <v/>
      </c>
      <c r="N43" t="str">
        <f>IF(ISBLANK(I43),"",IFERROR(_xlfn.XLOOKUP(I43,Справ_ВидыПремий!$B:$B,Справ_ВидыПремий!$H:$H)&amp;"",""))</f>
        <v/>
      </c>
      <c r="P43" t="str">
        <f>IF(ISBLANK(A43),"",IFERROR(_xlfn.XLOOKUP(A43,Периоды!$A:$A,Периоды!$B:$B),""))</f>
        <v/>
      </c>
      <c r="Q43" t="str">
        <f t="shared" ca="1" si="1"/>
        <v/>
      </c>
      <c r="R43" t="str">
        <f>IF(ISBLANK(I43),"",IFERROR(_xlfn.XLOOKUP(I43,Справ_ВидыПремий!$B:$B,Справ_ВидыПремий!$I:$I),""))</f>
        <v/>
      </c>
    </row>
    <row r="44" spans="1:18" x14ac:dyDescent="0.3">
      <c r="A44" s="11"/>
      <c r="C44" t="str">
        <f>IF(ISBLANK(B44),"",IFERROR(_xlfn.XLOOKUP(B44,Справ_Сотрудников!$B:$B,Справ_Сотрудников!$A:$A),""))</f>
        <v/>
      </c>
      <c r="D44" t="str">
        <f>IF(ISBLANK(B44),"",IFERROR(_xlfn.XLOOKUP(B44,Справ_Сотрудников!$B:$B,Справ_Сотрудников!$C:$C),""))</f>
        <v/>
      </c>
      <c r="E44" t="str">
        <f>IF(ISBLANK(B44),"",IFERROR(_xlfn.XLOOKUP(B44,Справ_Сотрудников!$B:$B,Справ_Сотрудников!$D:$D),""))</f>
        <v/>
      </c>
      <c r="F44" t="str">
        <f>IF(ISBLANK(B44),"",IFERROR(_xlfn.XLOOKUP(B44,Справ_Сотрудников!$B:$B,Справ_Сотрудников!$E:$E),""))</f>
        <v/>
      </c>
      <c r="G44" t="str">
        <f>IF(ISBLANK(B44),"",IFERROR(_xlfn.XLOOKUP(B44,Справ_Сотрудников!$B:$B,Справ_Сотрудников!$F:$F),""))</f>
        <v/>
      </c>
      <c r="H44" t="str">
        <f>IF(ISBLANK(B44),"",IFERROR(_xlfn.XLOOKUP(B44,Справ_Сотрудников!$B:$B,Справ_Сотрудников!$G:$G),""))</f>
        <v/>
      </c>
      <c r="J44" t="str">
        <f>IF(ISBLANK(I44),"",IFERROR(_xlfn.XLOOKUP(I44,Справ_ВидыПремий!$B:$B,Справ_ВидыПремий!$E:$E)&amp;"",""))</f>
        <v/>
      </c>
      <c r="K44" t="str">
        <f>IF(ISBLANK(I44),"",IFERROR(_xlfn.XLOOKUP(I44,Справ_ВидыПремий!$B:$B,Справ_ВидыПремий!$F:$F)&amp;"",""))</f>
        <v/>
      </c>
      <c r="M44" t="str">
        <f>IF(ISBLANK(I44),"",IFERROR(_xlfn.XLOOKUP(I44,Справ_ВидыПремий!$B:$B,Справ_ВидыПремий!$G:$G)&amp;"",""))</f>
        <v/>
      </c>
      <c r="N44" t="str">
        <f>IF(ISBLANK(I44),"",IFERROR(_xlfn.XLOOKUP(I44,Справ_ВидыПремий!$B:$B,Справ_ВидыПремий!$H:$H)&amp;"",""))</f>
        <v/>
      </c>
      <c r="P44" t="str">
        <f>IF(ISBLANK(A44),"",IFERROR(_xlfn.XLOOKUP(A44,Периоды!$A:$A,Периоды!$B:$B),""))</f>
        <v/>
      </c>
      <c r="Q44" t="str">
        <f t="shared" ca="1" si="1"/>
        <v/>
      </c>
      <c r="R44" t="str">
        <f>IF(ISBLANK(I44),"",IFERROR(_xlfn.XLOOKUP(I44,Справ_ВидыПремий!$B:$B,Справ_ВидыПремий!$I:$I),""))</f>
        <v/>
      </c>
    </row>
    <row r="45" spans="1:18" x14ac:dyDescent="0.3">
      <c r="A45" s="11"/>
      <c r="C45" t="str">
        <f>IF(ISBLANK(B45),"",IFERROR(_xlfn.XLOOKUP(B45,Справ_Сотрудников!$B:$B,Справ_Сотрудников!$A:$A),""))</f>
        <v/>
      </c>
      <c r="D45" t="str">
        <f>IF(ISBLANK(B45),"",IFERROR(_xlfn.XLOOKUP(B45,Справ_Сотрудников!$B:$B,Справ_Сотрудников!$C:$C),""))</f>
        <v/>
      </c>
      <c r="E45" t="str">
        <f>IF(ISBLANK(B45),"",IFERROR(_xlfn.XLOOKUP(B45,Справ_Сотрудников!$B:$B,Справ_Сотрудников!$D:$D),""))</f>
        <v/>
      </c>
      <c r="F45" t="str">
        <f>IF(ISBLANK(B45),"",IFERROR(_xlfn.XLOOKUP(B45,Справ_Сотрудников!$B:$B,Справ_Сотрудников!$E:$E),""))</f>
        <v/>
      </c>
      <c r="G45" t="str">
        <f>IF(ISBLANK(B45),"",IFERROR(_xlfn.XLOOKUP(B45,Справ_Сотрудников!$B:$B,Справ_Сотрудников!$F:$F),""))</f>
        <v/>
      </c>
      <c r="H45" t="str">
        <f>IF(ISBLANK(B45),"",IFERROR(_xlfn.XLOOKUP(B45,Справ_Сотрудников!$B:$B,Справ_Сотрудников!$G:$G),""))</f>
        <v/>
      </c>
      <c r="J45" t="str">
        <f>IF(ISBLANK(I45),"",IFERROR(_xlfn.XLOOKUP(I45,Справ_ВидыПремий!$B:$B,Справ_ВидыПремий!$E:$E)&amp;"",""))</f>
        <v/>
      </c>
      <c r="K45" t="str">
        <f>IF(ISBLANK(I45),"",IFERROR(_xlfn.XLOOKUP(I45,Справ_ВидыПремий!$B:$B,Справ_ВидыПремий!$F:$F)&amp;"",""))</f>
        <v/>
      </c>
      <c r="M45" t="str">
        <f>IF(ISBLANK(I45),"",IFERROR(_xlfn.XLOOKUP(I45,Справ_ВидыПремий!$B:$B,Справ_ВидыПремий!$G:$G)&amp;"",""))</f>
        <v/>
      </c>
      <c r="N45" t="str">
        <f>IF(ISBLANK(I45),"",IFERROR(_xlfn.XLOOKUP(I45,Справ_ВидыПремий!$B:$B,Справ_ВидыПремий!$H:$H)&amp;"",""))</f>
        <v/>
      </c>
      <c r="P45" t="str">
        <f>IF(ISBLANK(A45),"",IFERROR(_xlfn.XLOOKUP(A45,Периоды!$A:$A,Периоды!$B:$B),""))</f>
        <v/>
      </c>
      <c r="Q45" t="str">
        <f t="shared" ca="1" si="1"/>
        <v/>
      </c>
      <c r="R45" t="str">
        <f>IF(ISBLANK(I45),"",IFERROR(_xlfn.XLOOKUP(I45,Справ_ВидыПремий!$B:$B,Справ_ВидыПремий!$I:$I),""))</f>
        <v/>
      </c>
    </row>
    <row r="46" spans="1:18" x14ac:dyDescent="0.3">
      <c r="A46" s="11"/>
      <c r="C46" t="str">
        <f>IF(ISBLANK(B46),"",IFERROR(_xlfn.XLOOKUP(B46,Справ_Сотрудников!$B:$B,Справ_Сотрудников!$A:$A),""))</f>
        <v/>
      </c>
      <c r="D46" t="str">
        <f>IF(ISBLANK(B46),"",IFERROR(_xlfn.XLOOKUP(B46,Справ_Сотрудников!$B:$B,Справ_Сотрудников!$C:$C),""))</f>
        <v/>
      </c>
      <c r="E46" t="str">
        <f>IF(ISBLANK(B46),"",IFERROR(_xlfn.XLOOKUP(B46,Справ_Сотрудников!$B:$B,Справ_Сотрудников!$D:$D),""))</f>
        <v/>
      </c>
      <c r="F46" t="str">
        <f>IF(ISBLANK(B46),"",IFERROR(_xlfn.XLOOKUP(B46,Справ_Сотрудников!$B:$B,Справ_Сотрудников!$E:$E),""))</f>
        <v/>
      </c>
      <c r="G46" t="str">
        <f>IF(ISBLANK(B46),"",IFERROR(_xlfn.XLOOKUP(B46,Справ_Сотрудников!$B:$B,Справ_Сотрудников!$F:$F),""))</f>
        <v/>
      </c>
      <c r="H46" t="str">
        <f>IF(ISBLANK(B46),"",IFERROR(_xlfn.XLOOKUP(B46,Справ_Сотрудников!$B:$B,Справ_Сотрудников!$G:$G),""))</f>
        <v/>
      </c>
      <c r="J46" t="str">
        <f>IF(ISBLANK(I46),"",IFERROR(_xlfn.XLOOKUP(I46,Справ_ВидыПремий!$B:$B,Справ_ВидыПремий!$E:$E)&amp;"",""))</f>
        <v/>
      </c>
      <c r="K46" t="str">
        <f>IF(ISBLANK(I46),"",IFERROR(_xlfn.XLOOKUP(I46,Справ_ВидыПремий!$B:$B,Справ_ВидыПремий!$F:$F)&amp;"",""))</f>
        <v/>
      </c>
      <c r="M46" t="str">
        <f>IF(ISBLANK(I46),"",IFERROR(_xlfn.XLOOKUP(I46,Справ_ВидыПремий!$B:$B,Справ_ВидыПремий!$G:$G)&amp;"",""))</f>
        <v/>
      </c>
      <c r="N46" t="str">
        <f>IF(ISBLANK(I46),"",IFERROR(_xlfn.XLOOKUP(I46,Справ_ВидыПремий!$B:$B,Справ_ВидыПремий!$H:$H)&amp;"",""))</f>
        <v/>
      </c>
      <c r="P46" t="str">
        <f>IF(ISBLANK(A46),"",IFERROR(_xlfn.XLOOKUP(A46,Периоды!$A:$A,Периоды!$B:$B),""))</f>
        <v/>
      </c>
      <c r="Q46" t="str">
        <f t="shared" ca="1" si="1"/>
        <v/>
      </c>
      <c r="R46" t="str">
        <f>IF(ISBLANK(I46),"",IFERROR(_xlfn.XLOOKUP(I46,Справ_ВидыПремий!$B:$B,Справ_ВидыПремий!$I:$I),""))</f>
        <v/>
      </c>
    </row>
    <row r="47" spans="1:18" x14ac:dyDescent="0.3">
      <c r="A47" s="11"/>
      <c r="C47" t="str">
        <f>IF(ISBLANK(B47),"",IFERROR(_xlfn.XLOOKUP(B47,Справ_Сотрудников!$B:$B,Справ_Сотрудников!$A:$A),""))</f>
        <v/>
      </c>
      <c r="D47" t="str">
        <f>IF(ISBLANK(B47),"",IFERROR(_xlfn.XLOOKUP(B47,Справ_Сотрудников!$B:$B,Справ_Сотрудников!$C:$C),""))</f>
        <v/>
      </c>
      <c r="E47" t="str">
        <f>IF(ISBLANK(B47),"",IFERROR(_xlfn.XLOOKUP(B47,Справ_Сотрудников!$B:$B,Справ_Сотрудников!$D:$D),""))</f>
        <v/>
      </c>
      <c r="F47" t="str">
        <f>IF(ISBLANK(B47),"",IFERROR(_xlfn.XLOOKUP(B47,Справ_Сотрудников!$B:$B,Справ_Сотрудников!$E:$E),""))</f>
        <v/>
      </c>
      <c r="G47" t="str">
        <f>IF(ISBLANK(B47),"",IFERROR(_xlfn.XLOOKUP(B47,Справ_Сотрудников!$B:$B,Справ_Сотрудников!$F:$F),""))</f>
        <v/>
      </c>
      <c r="H47" t="str">
        <f>IF(ISBLANK(B47),"",IFERROR(_xlfn.XLOOKUP(B47,Справ_Сотрудников!$B:$B,Справ_Сотрудников!$G:$G),""))</f>
        <v/>
      </c>
      <c r="J47" t="str">
        <f>IF(ISBLANK(I47),"",IFERROR(_xlfn.XLOOKUP(I47,Справ_ВидыПремий!$B:$B,Справ_ВидыПремий!$E:$E)&amp;"",""))</f>
        <v/>
      </c>
      <c r="K47" t="str">
        <f>IF(ISBLANK(I47),"",IFERROR(_xlfn.XLOOKUP(I47,Справ_ВидыПремий!$B:$B,Справ_ВидыПремий!$F:$F)&amp;"",""))</f>
        <v/>
      </c>
      <c r="M47" t="str">
        <f>IF(ISBLANK(I47),"",IFERROR(_xlfn.XLOOKUP(I47,Справ_ВидыПремий!$B:$B,Справ_ВидыПремий!$G:$G)&amp;"",""))</f>
        <v/>
      </c>
      <c r="N47" t="str">
        <f>IF(ISBLANK(I47),"",IFERROR(_xlfn.XLOOKUP(I47,Справ_ВидыПремий!$B:$B,Справ_ВидыПремий!$H:$H)&amp;"",""))</f>
        <v/>
      </c>
      <c r="P47" t="str">
        <f>IF(ISBLANK(A47),"",IFERROR(_xlfn.XLOOKUP(A47,Периоды!$A:$A,Периоды!$B:$B),""))</f>
        <v/>
      </c>
      <c r="Q47" t="str">
        <f t="shared" ca="1" si="1"/>
        <v/>
      </c>
      <c r="R47" t="str">
        <f>IF(ISBLANK(I47),"",IFERROR(_xlfn.XLOOKUP(I47,Справ_ВидыПремий!$B:$B,Справ_ВидыПремий!$I:$I),""))</f>
        <v/>
      </c>
    </row>
    <row r="48" spans="1:18" x14ac:dyDescent="0.3">
      <c r="A48" s="11"/>
      <c r="C48" t="str">
        <f>IF(ISBLANK(B48),"",IFERROR(_xlfn.XLOOKUP(B48,Справ_Сотрудников!$B:$B,Справ_Сотрудников!$A:$A),""))</f>
        <v/>
      </c>
      <c r="D48" t="str">
        <f>IF(ISBLANK(B48),"",IFERROR(_xlfn.XLOOKUP(B48,Справ_Сотрудников!$B:$B,Справ_Сотрудников!$C:$C),""))</f>
        <v/>
      </c>
      <c r="E48" t="str">
        <f>IF(ISBLANK(B48),"",IFERROR(_xlfn.XLOOKUP(B48,Справ_Сотрудников!$B:$B,Справ_Сотрудников!$D:$D),""))</f>
        <v/>
      </c>
      <c r="F48" t="str">
        <f>IF(ISBLANK(B48),"",IFERROR(_xlfn.XLOOKUP(B48,Справ_Сотрудников!$B:$B,Справ_Сотрудников!$E:$E),""))</f>
        <v/>
      </c>
      <c r="G48" t="str">
        <f>IF(ISBLANK(B48),"",IFERROR(_xlfn.XLOOKUP(B48,Справ_Сотрудников!$B:$B,Справ_Сотрудников!$F:$F),""))</f>
        <v/>
      </c>
      <c r="H48" t="str">
        <f>IF(ISBLANK(B48),"",IFERROR(_xlfn.XLOOKUP(B48,Справ_Сотрудников!$B:$B,Справ_Сотрудников!$G:$G),""))</f>
        <v/>
      </c>
      <c r="J48" t="str">
        <f>IF(ISBLANK(I48),"",IFERROR(_xlfn.XLOOKUP(I48,Справ_ВидыПремий!$B:$B,Справ_ВидыПремий!$E:$E)&amp;"",""))</f>
        <v/>
      </c>
      <c r="K48" t="str">
        <f>IF(ISBLANK(I48),"",IFERROR(_xlfn.XLOOKUP(I48,Справ_ВидыПремий!$B:$B,Справ_ВидыПремий!$F:$F)&amp;"",""))</f>
        <v/>
      </c>
      <c r="M48" t="str">
        <f>IF(ISBLANK(I48),"",IFERROR(_xlfn.XLOOKUP(I48,Справ_ВидыПремий!$B:$B,Справ_ВидыПремий!$G:$G)&amp;"",""))</f>
        <v/>
      </c>
      <c r="N48" t="str">
        <f>IF(ISBLANK(I48),"",IFERROR(_xlfn.XLOOKUP(I48,Справ_ВидыПремий!$B:$B,Справ_ВидыПремий!$H:$H)&amp;"",""))</f>
        <v/>
      </c>
      <c r="P48" t="str">
        <f>IF(ISBLANK(A48),"",IFERROR(_xlfn.XLOOKUP(A48,Периоды!$A:$A,Периоды!$B:$B),""))</f>
        <v/>
      </c>
      <c r="Q48" t="str">
        <f t="shared" ca="1" si="1"/>
        <v/>
      </c>
      <c r="R48" t="str">
        <f>IF(ISBLANK(I48),"",IFERROR(_xlfn.XLOOKUP(I48,Справ_ВидыПремий!$B:$B,Справ_ВидыПремий!$I:$I),""))</f>
        <v/>
      </c>
    </row>
    <row r="49" spans="1:18" x14ac:dyDescent="0.3">
      <c r="A49" s="11"/>
      <c r="C49" t="str">
        <f>IF(ISBLANK(B49),"",IFERROR(_xlfn.XLOOKUP(B49,Справ_Сотрудников!$B:$B,Справ_Сотрудников!$A:$A),""))</f>
        <v/>
      </c>
      <c r="D49" t="str">
        <f>IF(ISBLANK(B49),"",IFERROR(_xlfn.XLOOKUP(B49,Справ_Сотрудников!$B:$B,Справ_Сотрудников!$C:$C),""))</f>
        <v/>
      </c>
      <c r="E49" t="str">
        <f>IF(ISBLANK(B49),"",IFERROR(_xlfn.XLOOKUP(B49,Справ_Сотрудников!$B:$B,Справ_Сотрудников!$D:$D),""))</f>
        <v/>
      </c>
      <c r="F49" t="str">
        <f>IF(ISBLANK(B49),"",IFERROR(_xlfn.XLOOKUP(B49,Справ_Сотрудников!$B:$B,Справ_Сотрудников!$E:$E),""))</f>
        <v/>
      </c>
      <c r="G49" t="str">
        <f>IF(ISBLANK(B49),"",IFERROR(_xlfn.XLOOKUP(B49,Справ_Сотрудников!$B:$B,Справ_Сотрудников!$F:$F),""))</f>
        <v/>
      </c>
      <c r="H49" t="str">
        <f>IF(ISBLANK(B49),"",IFERROR(_xlfn.XLOOKUP(B49,Справ_Сотрудников!$B:$B,Справ_Сотрудников!$G:$G),""))</f>
        <v/>
      </c>
      <c r="J49" t="str">
        <f>IF(ISBLANK(I49),"",IFERROR(_xlfn.XLOOKUP(I49,Справ_ВидыПремий!$B:$B,Справ_ВидыПремий!$E:$E)&amp;"",""))</f>
        <v/>
      </c>
      <c r="K49" t="str">
        <f>IF(ISBLANK(I49),"",IFERROR(_xlfn.XLOOKUP(I49,Справ_ВидыПремий!$B:$B,Справ_ВидыПремий!$F:$F)&amp;"",""))</f>
        <v/>
      </c>
      <c r="M49" t="str">
        <f>IF(ISBLANK(I49),"",IFERROR(_xlfn.XLOOKUP(I49,Справ_ВидыПремий!$B:$B,Справ_ВидыПремий!$G:$G)&amp;"",""))</f>
        <v/>
      </c>
      <c r="N49" t="str">
        <f>IF(ISBLANK(I49),"",IFERROR(_xlfn.XLOOKUP(I49,Справ_ВидыПремий!$B:$B,Справ_ВидыПремий!$H:$H)&amp;"",""))</f>
        <v/>
      </c>
      <c r="P49" t="str">
        <f>IF(ISBLANK(A49),"",IFERROR(_xlfn.XLOOKUP(A49,Периоды!$A:$A,Периоды!$B:$B),""))</f>
        <v/>
      </c>
      <c r="Q49" t="str">
        <f t="shared" ca="1" si="1"/>
        <v/>
      </c>
      <c r="R49" t="str">
        <f>IF(ISBLANK(I49),"",IFERROR(_xlfn.XLOOKUP(I49,Справ_ВидыПремий!$B:$B,Справ_ВидыПремий!$I:$I),""))</f>
        <v/>
      </c>
    </row>
    <row r="50" spans="1:18" x14ac:dyDescent="0.3">
      <c r="A50" s="11"/>
      <c r="C50" t="str">
        <f>IF(ISBLANK(B50),"",IFERROR(_xlfn.XLOOKUP(B50,Справ_Сотрудников!$B:$B,Справ_Сотрудников!$A:$A),""))</f>
        <v/>
      </c>
      <c r="D50" t="str">
        <f>IF(ISBLANK(B50),"",IFERROR(_xlfn.XLOOKUP(B50,Справ_Сотрудников!$B:$B,Справ_Сотрудников!$C:$C),""))</f>
        <v/>
      </c>
      <c r="E50" t="str">
        <f>IF(ISBLANK(B50),"",IFERROR(_xlfn.XLOOKUP(B50,Справ_Сотрудников!$B:$B,Справ_Сотрудников!$D:$D),""))</f>
        <v/>
      </c>
      <c r="F50" t="str">
        <f>IF(ISBLANK(B50),"",IFERROR(_xlfn.XLOOKUP(B50,Справ_Сотрудников!$B:$B,Справ_Сотрудников!$E:$E),""))</f>
        <v/>
      </c>
      <c r="G50" t="str">
        <f>IF(ISBLANK(B50),"",IFERROR(_xlfn.XLOOKUP(B50,Справ_Сотрудников!$B:$B,Справ_Сотрудников!$F:$F),""))</f>
        <v/>
      </c>
      <c r="H50" t="str">
        <f>IF(ISBLANK(B50),"",IFERROR(_xlfn.XLOOKUP(B50,Справ_Сотрудников!$B:$B,Справ_Сотрудников!$G:$G),""))</f>
        <v/>
      </c>
      <c r="J50" t="str">
        <f>IF(ISBLANK(I50),"",IFERROR(_xlfn.XLOOKUP(I50,Справ_ВидыПремий!$B:$B,Справ_ВидыПремий!$E:$E)&amp;"",""))</f>
        <v/>
      </c>
      <c r="K50" t="str">
        <f>IF(ISBLANK(I50),"",IFERROR(_xlfn.XLOOKUP(I50,Справ_ВидыПремий!$B:$B,Справ_ВидыПремий!$F:$F)&amp;"",""))</f>
        <v/>
      </c>
      <c r="M50" t="str">
        <f>IF(ISBLANK(I50),"",IFERROR(_xlfn.XLOOKUP(I50,Справ_ВидыПремий!$B:$B,Справ_ВидыПремий!$G:$G)&amp;"",""))</f>
        <v/>
      </c>
      <c r="N50" t="str">
        <f>IF(ISBLANK(I50),"",IFERROR(_xlfn.XLOOKUP(I50,Справ_ВидыПремий!$B:$B,Справ_ВидыПремий!$H:$H)&amp;"",""))</f>
        <v/>
      </c>
      <c r="P50" t="str">
        <f>IF(ISBLANK(A50),"",IFERROR(_xlfn.XLOOKUP(A50,Периоды!$A:$A,Периоды!$B:$B),""))</f>
        <v/>
      </c>
      <c r="Q50" t="str">
        <f t="shared" ca="1" si="1"/>
        <v/>
      </c>
      <c r="R50" t="str">
        <f>IF(ISBLANK(I50),"",IFERROR(_xlfn.XLOOKUP(I50,Справ_ВидыПремий!$B:$B,Справ_ВидыПремий!$I:$I),""))</f>
        <v/>
      </c>
    </row>
  </sheetData>
  <conditionalFormatting sqref="M2:O50">
    <cfRule type="expression" dxfId="0" priority="1" stopIfTrue="1">
      <formula>AND($I2&lt;&gt;"",$M2="")</formula>
    </cfRule>
  </conditionalFormatting>
  <dataValidations xWindow="572" yWindow="438" count="1">
    <dataValidation type="custom" allowBlank="1" showErrorMessage="1" errorTitle="KPI не применяется" error="Для этого вида премии KPI не задан. Оставьте ячейку пустой." sqref="O2:O50" xr:uid="{00000000-0002-0000-0000-000000000000}">
      <formula1>OR($I2="",$M2&lt;&gt;"")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572" yWindow="438" count="3">
        <x14:dataValidation type="list" allowBlank="1" xr:uid="{00000000-0002-0000-0000-000001000000}">
          <x14:formula1>
            <xm:f>Периоды!$A$2:$A$9</xm:f>
          </x14:formula1>
          <xm:sqref>A2:A50</xm:sqref>
        </x14:dataValidation>
        <x14:dataValidation type="list" allowBlank="1" xr:uid="{00000000-0002-0000-0000-000002000000}">
          <x14:formula1>
            <xm:f>Справ_Сотрудников!$B$2:$B$10</xm:f>
          </x14:formula1>
          <xm:sqref>B2:B50</xm:sqref>
        </x14:dataValidation>
        <x14:dataValidation type="list" allowBlank="1" showErrorMessage="1" errorTitle="Вид премии" error="Этот вид премии не предусмотрен для должности и типа периода." xr:uid="{00000000-0002-0000-0000-000003000000}">
          <x14:formula1>
            <xm:f>OFFSET(Справ_ВидыПремий!$B$1,MATCH($G2&amp;"|"&amp;$P2,Справ_ВидыПремий!$J:$J,0)-1,0,COUNTIF(Справ_ВидыПремий!$J:$J,$G2&amp;"|"&amp;$P2),1)</xm:f>
          </x14:formula1>
          <xm:sqref>I2:I500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>
    <tabColor rgb="FFFFA500"/>
  </sheetPr>
  <dimension ref="A1:J100"/>
  <sheetViews>
    <sheetView workbookViewId="0">
      <selection activeCell="C33" sqref="C33"/>
    </sheetView>
  </sheetViews>
  <sheetFormatPr defaultColWidth="0" defaultRowHeight="14.4" x14ac:dyDescent="0.3"/>
  <cols>
    <col min="1" max="1" width="16.33203125" customWidth="1"/>
    <col min="2" max="2" width="48" customWidth="1"/>
    <col min="3" max="3" width="17.44140625" customWidth="1"/>
    <col min="4" max="4" width="39.88671875" customWidth="1"/>
    <col min="5" max="5" width="29.21875" customWidth="1"/>
    <col min="6" max="6" width="27.44140625" customWidth="1"/>
    <col min="7" max="7" width="55" customWidth="1"/>
    <col min="8" max="8" width="25.44140625" customWidth="1"/>
    <col min="9" max="9" width="30" hidden="1" customWidth="1"/>
    <col min="10" max="10" width="60" hidden="1" customWidth="1"/>
  </cols>
  <sheetData>
    <row r="1" spans="1:10" x14ac:dyDescent="0.3">
      <c r="A1" s="1" t="s">
        <v>28</v>
      </c>
      <c r="B1" s="1" t="s">
        <v>29</v>
      </c>
      <c r="C1" s="1" t="s">
        <v>30</v>
      </c>
      <c r="D1" s="1" t="s">
        <v>6</v>
      </c>
      <c r="E1" s="1" t="s">
        <v>9</v>
      </c>
      <c r="F1" s="1" t="s">
        <v>31</v>
      </c>
      <c r="G1" s="1" t="s">
        <v>32</v>
      </c>
      <c r="H1" s="1" t="s">
        <v>33</v>
      </c>
      <c r="I1" t="s">
        <v>17</v>
      </c>
      <c r="J1" t="s">
        <v>34</v>
      </c>
    </row>
    <row r="2" spans="1:10" x14ac:dyDescent="0.3">
      <c r="A2" s="1" t="s">
        <v>35</v>
      </c>
      <c r="B2" s="1" t="s">
        <v>19</v>
      </c>
      <c r="C2" s="1" t="s">
        <v>36</v>
      </c>
      <c r="D2" s="1" t="s">
        <v>37</v>
      </c>
      <c r="E2" s="1" t="s">
        <v>38</v>
      </c>
      <c r="F2" s="1" t="s">
        <v>39</v>
      </c>
      <c r="G2" s="1"/>
      <c r="H2" s="1"/>
      <c r="I2" t="s">
        <v>40</v>
      </c>
      <c r="J2" t="str">
        <f t="shared" ref="J2:J33" si="0">IF(B2="","",D2&amp;"|"&amp;C2)</f>
        <v>Менеджер по продажам новых АМ|ЕЖЕМЕСЯЧНО</v>
      </c>
    </row>
    <row r="3" spans="1:10" x14ac:dyDescent="0.3">
      <c r="A3" s="1" t="s">
        <v>41</v>
      </c>
      <c r="B3" s="1" t="s">
        <v>27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42</v>
      </c>
      <c r="H3" s="1" t="s">
        <v>43</v>
      </c>
      <c r="I3" t="s">
        <v>44</v>
      </c>
      <c r="J3" t="str">
        <f t="shared" si="0"/>
        <v>Менеджер по продажам новых АМ|ЕЖЕМЕСЯЧНО</v>
      </c>
    </row>
    <row r="4" spans="1:10" x14ac:dyDescent="0.3">
      <c r="A4" s="1" t="s">
        <v>45</v>
      </c>
      <c r="B4" s="1" t="s">
        <v>26</v>
      </c>
      <c r="C4" s="1" t="s">
        <v>36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43</v>
      </c>
      <c r="I4" t="s">
        <v>50</v>
      </c>
      <c r="J4" t="str">
        <f t="shared" si="0"/>
        <v>Мастер-консультант|ЕЖЕМЕСЯЧНО</v>
      </c>
    </row>
    <row r="5" spans="1:10" x14ac:dyDescent="0.3">
      <c r="A5" s="1" t="s">
        <v>51</v>
      </c>
      <c r="B5" s="1" t="s">
        <v>22</v>
      </c>
      <c r="C5" s="1" t="s">
        <v>52</v>
      </c>
      <c r="D5" s="1" t="s">
        <v>37</v>
      </c>
      <c r="E5" s="1" t="s">
        <v>47</v>
      </c>
      <c r="F5" s="1" t="s">
        <v>48</v>
      </c>
      <c r="G5" s="1" t="s">
        <v>53</v>
      </c>
      <c r="H5" s="1" t="s">
        <v>43</v>
      </c>
      <c r="I5" t="s">
        <v>54</v>
      </c>
      <c r="J5" t="str">
        <f t="shared" si="0"/>
        <v>Менеджер по продажам новых АМ|ЕЖЕКВАРТАЛЬНО</v>
      </c>
    </row>
    <row r="6" spans="1:10" x14ac:dyDescent="0.3">
      <c r="A6" s="1" t="s">
        <v>51</v>
      </c>
      <c r="B6" s="1" t="s">
        <v>22</v>
      </c>
      <c r="C6" s="1" t="s">
        <v>52</v>
      </c>
      <c r="D6" s="1" t="s">
        <v>55</v>
      </c>
      <c r="E6" s="1" t="s">
        <v>47</v>
      </c>
      <c r="F6" s="1" t="s">
        <v>48</v>
      </c>
      <c r="G6" s="1" t="s">
        <v>53</v>
      </c>
      <c r="H6" s="1" t="s">
        <v>43</v>
      </c>
      <c r="I6" t="s">
        <v>54</v>
      </c>
      <c r="J6" t="str">
        <f t="shared" si="0"/>
        <v>Менеджер по кредитованию и страхованию|ЕЖЕКВАРТАЛЬНО</v>
      </c>
    </row>
    <row r="7" spans="1:10" x14ac:dyDescent="0.3">
      <c r="J7" t="str">
        <f t="shared" si="0"/>
        <v/>
      </c>
    </row>
    <row r="8" spans="1:10" x14ac:dyDescent="0.3">
      <c r="J8" t="str">
        <f t="shared" si="0"/>
        <v/>
      </c>
    </row>
    <row r="9" spans="1:10" x14ac:dyDescent="0.3">
      <c r="J9" t="str">
        <f t="shared" si="0"/>
        <v/>
      </c>
    </row>
    <row r="10" spans="1:10" x14ac:dyDescent="0.3">
      <c r="J10" t="str">
        <f t="shared" si="0"/>
        <v/>
      </c>
    </row>
    <row r="11" spans="1:10" x14ac:dyDescent="0.3">
      <c r="J11" t="str">
        <f t="shared" si="0"/>
        <v/>
      </c>
    </row>
    <row r="12" spans="1:10" x14ac:dyDescent="0.3">
      <c r="J12" t="str">
        <f t="shared" si="0"/>
        <v/>
      </c>
    </row>
    <row r="13" spans="1:10" x14ac:dyDescent="0.3">
      <c r="J13" t="str">
        <f t="shared" si="0"/>
        <v/>
      </c>
    </row>
    <row r="14" spans="1:10" x14ac:dyDescent="0.3">
      <c r="J14" t="str">
        <f t="shared" si="0"/>
        <v/>
      </c>
    </row>
    <row r="15" spans="1:10" x14ac:dyDescent="0.3">
      <c r="J15" t="str">
        <f t="shared" si="0"/>
        <v/>
      </c>
    </row>
    <row r="16" spans="1:10" x14ac:dyDescent="0.3">
      <c r="J16" t="str">
        <f t="shared" si="0"/>
        <v/>
      </c>
    </row>
    <row r="17" spans="10:10" x14ac:dyDescent="0.3">
      <c r="J17" t="str">
        <f t="shared" si="0"/>
        <v/>
      </c>
    </row>
    <row r="18" spans="10:10" x14ac:dyDescent="0.3">
      <c r="J18" t="str">
        <f t="shared" si="0"/>
        <v/>
      </c>
    </row>
    <row r="19" spans="10:10" x14ac:dyDescent="0.3">
      <c r="J19" t="str">
        <f t="shared" si="0"/>
        <v/>
      </c>
    </row>
    <row r="20" spans="10:10" x14ac:dyDescent="0.3">
      <c r="J20" t="str">
        <f t="shared" si="0"/>
        <v/>
      </c>
    </row>
    <row r="21" spans="10:10" x14ac:dyDescent="0.3">
      <c r="J21" t="str">
        <f t="shared" si="0"/>
        <v/>
      </c>
    </row>
    <row r="22" spans="10:10" x14ac:dyDescent="0.3">
      <c r="J22" t="str">
        <f t="shared" si="0"/>
        <v/>
      </c>
    </row>
    <row r="23" spans="10:10" x14ac:dyDescent="0.3">
      <c r="J23" t="str">
        <f t="shared" si="0"/>
        <v/>
      </c>
    </row>
    <row r="24" spans="10:10" x14ac:dyDescent="0.3">
      <c r="J24" t="str">
        <f t="shared" si="0"/>
        <v/>
      </c>
    </row>
    <row r="25" spans="10:10" x14ac:dyDescent="0.3">
      <c r="J25" t="str">
        <f t="shared" si="0"/>
        <v/>
      </c>
    </row>
    <row r="26" spans="10:10" x14ac:dyDescent="0.3">
      <c r="J26" t="str">
        <f t="shared" si="0"/>
        <v/>
      </c>
    </row>
    <row r="27" spans="10:10" x14ac:dyDescent="0.3">
      <c r="J27" t="str">
        <f t="shared" si="0"/>
        <v/>
      </c>
    </row>
    <row r="28" spans="10:10" x14ac:dyDescent="0.3">
      <c r="J28" t="str">
        <f t="shared" si="0"/>
        <v/>
      </c>
    </row>
    <row r="29" spans="10:10" x14ac:dyDescent="0.3">
      <c r="J29" t="str">
        <f t="shared" si="0"/>
        <v/>
      </c>
    </row>
    <row r="30" spans="10:10" x14ac:dyDescent="0.3">
      <c r="J30" t="str">
        <f t="shared" si="0"/>
        <v/>
      </c>
    </row>
    <row r="31" spans="10:10" x14ac:dyDescent="0.3">
      <c r="J31" t="str">
        <f t="shared" si="0"/>
        <v/>
      </c>
    </row>
    <row r="32" spans="10:10" x14ac:dyDescent="0.3">
      <c r="J32" t="str">
        <f t="shared" si="0"/>
        <v/>
      </c>
    </row>
    <row r="33" spans="10:10" x14ac:dyDescent="0.3">
      <c r="J33" t="str">
        <f t="shared" si="0"/>
        <v/>
      </c>
    </row>
    <row r="34" spans="10:10" x14ac:dyDescent="0.3">
      <c r="J34" t="str">
        <f t="shared" ref="J34:J65" si="1">IF(B34="","",D34&amp;"|"&amp;C34)</f>
        <v/>
      </c>
    </row>
    <row r="35" spans="10:10" x14ac:dyDescent="0.3">
      <c r="J35" t="str">
        <f t="shared" si="1"/>
        <v/>
      </c>
    </row>
    <row r="36" spans="10:10" x14ac:dyDescent="0.3">
      <c r="J36" t="str">
        <f t="shared" si="1"/>
        <v/>
      </c>
    </row>
    <row r="37" spans="10:10" x14ac:dyDescent="0.3">
      <c r="J37" t="str">
        <f t="shared" si="1"/>
        <v/>
      </c>
    </row>
    <row r="38" spans="10:10" x14ac:dyDescent="0.3">
      <c r="J38" t="str">
        <f t="shared" si="1"/>
        <v/>
      </c>
    </row>
    <row r="39" spans="10:10" x14ac:dyDescent="0.3">
      <c r="J39" t="str">
        <f t="shared" si="1"/>
        <v/>
      </c>
    </row>
    <row r="40" spans="10:10" x14ac:dyDescent="0.3">
      <c r="J40" t="str">
        <f t="shared" si="1"/>
        <v/>
      </c>
    </row>
    <row r="41" spans="10:10" x14ac:dyDescent="0.3">
      <c r="J41" t="str">
        <f t="shared" si="1"/>
        <v/>
      </c>
    </row>
    <row r="42" spans="10:10" x14ac:dyDescent="0.3">
      <c r="J42" t="str">
        <f t="shared" si="1"/>
        <v/>
      </c>
    </row>
    <row r="43" spans="10:10" x14ac:dyDescent="0.3">
      <c r="J43" t="str">
        <f t="shared" si="1"/>
        <v/>
      </c>
    </row>
    <row r="44" spans="10:10" x14ac:dyDescent="0.3">
      <c r="J44" t="str">
        <f t="shared" si="1"/>
        <v/>
      </c>
    </row>
    <row r="45" spans="10:10" x14ac:dyDescent="0.3">
      <c r="J45" t="str">
        <f t="shared" si="1"/>
        <v/>
      </c>
    </row>
    <row r="46" spans="10:10" x14ac:dyDescent="0.3">
      <c r="J46" t="str">
        <f t="shared" si="1"/>
        <v/>
      </c>
    </row>
    <row r="47" spans="10:10" x14ac:dyDescent="0.3">
      <c r="J47" t="str">
        <f t="shared" si="1"/>
        <v/>
      </c>
    </row>
    <row r="48" spans="10:10" x14ac:dyDescent="0.3">
      <c r="J48" t="str">
        <f t="shared" si="1"/>
        <v/>
      </c>
    </row>
    <row r="49" spans="10:10" x14ac:dyDescent="0.3">
      <c r="J49" t="str">
        <f t="shared" si="1"/>
        <v/>
      </c>
    </row>
    <row r="50" spans="10:10" x14ac:dyDescent="0.3">
      <c r="J50" t="str">
        <f t="shared" si="1"/>
        <v/>
      </c>
    </row>
    <row r="51" spans="10:10" x14ac:dyDescent="0.3">
      <c r="J51" t="str">
        <f t="shared" si="1"/>
        <v/>
      </c>
    </row>
    <row r="52" spans="10:10" x14ac:dyDescent="0.3">
      <c r="J52" t="str">
        <f t="shared" si="1"/>
        <v/>
      </c>
    </row>
    <row r="53" spans="10:10" x14ac:dyDescent="0.3">
      <c r="J53" t="str">
        <f t="shared" si="1"/>
        <v/>
      </c>
    </row>
    <row r="54" spans="10:10" x14ac:dyDescent="0.3">
      <c r="J54" t="str">
        <f t="shared" si="1"/>
        <v/>
      </c>
    </row>
    <row r="55" spans="10:10" x14ac:dyDescent="0.3">
      <c r="J55" t="str">
        <f t="shared" si="1"/>
        <v/>
      </c>
    </row>
    <row r="56" spans="10:10" x14ac:dyDescent="0.3">
      <c r="J56" t="str">
        <f t="shared" si="1"/>
        <v/>
      </c>
    </row>
    <row r="57" spans="10:10" x14ac:dyDescent="0.3">
      <c r="J57" t="str">
        <f t="shared" si="1"/>
        <v/>
      </c>
    </row>
    <row r="58" spans="10:10" x14ac:dyDescent="0.3">
      <c r="J58" t="str">
        <f t="shared" si="1"/>
        <v/>
      </c>
    </row>
    <row r="59" spans="10:10" x14ac:dyDescent="0.3">
      <c r="J59" t="str">
        <f t="shared" si="1"/>
        <v/>
      </c>
    </row>
    <row r="60" spans="10:10" x14ac:dyDescent="0.3">
      <c r="J60" t="str">
        <f t="shared" si="1"/>
        <v/>
      </c>
    </row>
    <row r="61" spans="10:10" x14ac:dyDescent="0.3">
      <c r="J61" t="str">
        <f t="shared" si="1"/>
        <v/>
      </c>
    </row>
    <row r="62" spans="10:10" x14ac:dyDescent="0.3">
      <c r="J62" t="str">
        <f t="shared" si="1"/>
        <v/>
      </c>
    </row>
    <row r="63" spans="10:10" x14ac:dyDescent="0.3">
      <c r="J63" t="str">
        <f t="shared" si="1"/>
        <v/>
      </c>
    </row>
    <row r="64" spans="10:10" x14ac:dyDescent="0.3">
      <c r="J64" t="str">
        <f t="shared" si="1"/>
        <v/>
      </c>
    </row>
    <row r="65" spans="10:10" x14ac:dyDescent="0.3">
      <c r="J65" t="str">
        <f t="shared" si="1"/>
        <v/>
      </c>
    </row>
    <row r="66" spans="10:10" x14ac:dyDescent="0.3">
      <c r="J66" t="str">
        <f t="shared" ref="J66:J100" si="2">IF(B66="","",D66&amp;"|"&amp;C66)</f>
        <v/>
      </c>
    </row>
    <row r="67" spans="10:10" x14ac:dyDescent="0.3">
      <c r="J67" t="str">
        <f t="shared" si="2"/>
        <v/>
      </c>
    </row>
    <row r="68" spans="10:10" x14ac:dyDescent="0.3">
      <c r="J68" t="str">
        <f t="shared" si="2"/>
        <v/>
      </c>
    </row>
    <row r="69" spans="10:10" x14ac:dyDescent="0.3">
      <c r="J69" t="str">
        <f t="shared" si="2"/>
        <v/>
      </c>
    </row>
    <row r="70" spans="10:10" x14ac:dyDescent="0.3">
      <c r="J70" t="str">
        <f t="shared" si="2"/>
        <v/>
      </c>
    </row>
    <row r="71" spans="10:10" x14ac:dyDescent="0.3">
      <c r="J71" t="str">
        <f t="shared" si="2"/>
        <v/>
      </c>
    </row>
    <row r="72" spans="10:10" x14ac:dyDescent="0.3">
      <c r="J72" t="str">
        <f t="shared" si="2"/>
        <v/>
      </c>
    </row>
    <row r="73" spans="10:10" x14ac:dyDescent="0.3">
      <c r="J73" t="str">
        <f t="shared" si="2"/>
        <v/>
      </c>
    </row>
    <row r="74" spans="10:10" x14ac:dyDescent="0.3">
      <c r="J74" t="str">
        <f t="shared" si="2"/>
        <v/>
      </c>
    </row>
    <row r="75" spans="10:10" x14ac:dyDescent="0.3">
      <c r="J75" t="str">
        <f t="shared" si="2"/>
        <v/>
      </c>
    </row>
    <row r="76" spans="10:10" x14ac:dyDescent="0.3">
      <c r="J76" t="str">
        <f t="shared" si="2"/>
        <v/>
      </c>
    </row>
    <row r="77" spans="10:10" x14ac:dyDescent="0.3">
      <c r="J77" t="str">
        <f t="shared" si="2"/>
        <v/>
      </c>
    </row>
    <row r="78" spans="10:10" x14ac:dyDescent="0.3">
      <c r="J78" t="str">
        <f t="shared" si="2"/>
        <v/>
      </c>
    </row>
    <row r="79" spans="10:10" x14ac:dyDescent="0.3">
      <c r="J79" t="str">
        <f t="shared" si="2"/>
        <v/>
      </c>
    </row>
    <row r="80" spans="10:10" x14ac:dyDescent="0.3">
      <c r="J80" t="str">
        <f t="shared" si="2"/>
        <v/>
      </c>
    </row>
    <row r="81" spans="10:10" x14ac:dyDescent="0.3">
      <c r="J81" t="str">
        <f t="shared" si="2"/>
        <v/>
      </c>
    </row>
    <row r="82" spans="10:10" x14ac:dyDescent="0.3">
      <c r="J82" t="str">
        <f t="shared" si="2"/>
        <v/>
      </c>
    </row>
    <row r="83" spans="10:10" x14ac:dyDescent="0.3">
      <c r="J83" t="str">
        <f t="shared" si="2"/>
        <v/>
      </c>
    </row>
    <row r="84" spans="10:10" x14ac:dyDescent="0.3">
      <c r="J84" t="str">
        <f t="shared" si="2"/>
        <v/>
      </c>
    </row>
    <row r="85" spans="10:10" x14ac:dyDescent="0.3">
      <c r="J85" t="str">
        <f t="shared" si="2"/>
        <v/>
      </c>
    </row>
    <row r="86" spans="10:10" x14ac:dyDescent="0.3">
      <c r="J86" t="str">
        <f t="shared" si="2"/>
        <v/>
      </c>
    </row>
    <row r="87" spans="10:10" x14ac:dyDescent="0.3">
      <c r="J87" t="str">
        <f t="shared" si="2"/>
        <v/>
      </c>
    </row>
    <row r="88" spans="10:10" x14ac:dyDescent="0.3">
      <c r="J88" t="str">
        <f t="shared" si="2"/>
        <v/>
      </c>
    </row>
    <row r="89" spans="10:10" x14ac:dyDescent="0.3">
      <c r="J89" t="str">
        <f t="shared" si="2"/>
        <v/>
      </c>
    </row>
    <row r="90" spans="10:10" x14ac:dyDescent="0.3">
      <c r="J90" t="str">
        <f t="shared" si="2"/>
        <v/>
      </c>
    </row>
    <row r="91" spans="10:10" x14ac:dyDescent="0.3">
      <c r="J91" t="str">
        <f t="shared" si="2"/>
        <v/>
      </c>
    </row>
    <row r="92" spans="10:10" x14ac:dyDescent="0.3">
      <c r="J92" t="str">
        <f t="shared" si="2"/>
        <v/>
      </c>
    </row>
    <row r="93" spans="10:10" x14ac:dyDescent="0.3">
      <c r="J93" t="str">
        <f t="shared" si="2"/>
        <v/>
      </c>
    </row>
    <row r="94" spans="10:10" x14ac:dyDescent="0.3">
      <c r="J94" t="str">
        <f t="shared" si="2"/>
        <v/>
      </c>
    </row>
    <row r="95" spans="10:10" x14ac:dyDescent="0.3">
      <c r="J95" t="str">
        <f t="shared" si="2"/>
        <v/>
      </c>
    </row>
    <row r="96" spans="10:10" x14ac:dyDescent="0.3">
      <c r="J96" t="str">
        <f t="shared" si="2"/>
        <v/>
      </c>
    </row>
    <row r="97" spans="10:10" x14ac:dyDescent="0.3">
      <c r="J97" t="str">
        <f t="shared" si="2"/>
        <v/>
      </c>
    </row>
    <row r="98" spans="10:10" x14ac:dyDescent="0.3">
      <c r="J98" t="str">
        <f t="shared" si="2"/>
        <v/>
      </c>
    </row>
    <row r="99" spans="10:10" x14ac:dyDescent="0.3">
      <c r="J99" t="str">
        <f t="shared" si="2"/>
        <v/>
      </c>
    </row>
    <row r="100" spans="10:10" x14ac:dyDescent="0.3">
      <c r="J100" t="str">
        <f t="shared" si="2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4">
    <tabColor rgb="FFFFA500"/>
  </sheetPr>
  <dimension ref="A1:G5"/>
  <sheetViews>
    <sheetView workbookViewId="0">
      <selection activeCell="E13" sqref="E13"/>
    </sheetView>
  </sheetViews>
  <sheetFormatPr defaultRowHeight="14.4" x14ac:dyDescent="0.3"/>
  <cols>
    <col min="1" max="1" width="13.6640625" style="1" customWidth="1"/>
    <col min="2" max="2" width="35.6640625" style="1" customWidth="1"/>
    <col min="3" max="3" width="11.88671875" style="1" bestFit="1" customWidth="1"/>
    <col min="4" max="4" width="12.109375" style="1" bestFit="1" customWidth="1"/>
    <col min="5" max="5" width="10.44140625" style="1" bestFit="1" customWidth="1"/>
    <col min="6" max="6" width="8.88671875" style="1" customWidth="1"/>
    <col min="7" max="7" width="16" customWidth="1"/>
    <col min="8" max="8" width="8.88671875" style="1" customWidth="1"/>
    <col min="9" max="16384" width="8.88671875" style="1"/>
  </cols>
  <sheetData>
    <row r="1" spans="1:7" ht="14.4" customHeight="1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t="s">
        <v>61</v>
      </c>
      <c r="G1" t="s">
        <v>62</v>
      </c>
    </row>
    <row r="2" spans="1:7" ht="14.4" customHeight="1" x14ac:dyDescent="0.3">
      <c r="A2" s="1" t="s">
        <v>63</v>
      </c>
      <c r="B2" s="1" t="s">
        <v>64</v>
      </c>
      <c r="C2" s="1">
        <v>0</v>
      </c>
      <c r="D2" s="1">
        <v>2</v>
      </c>
      <c r="E2">
        <v>0</v>
      </c>
      <c r="F2">
        <v>0</v>
      </c>
      <c r="G2" t="s">
        <v>65</v>
      </c>
    </row>
    <row r="3" spans="1:7" ht="14.4" customHeight="1" x14ac:dyDescent="0.3">
      <c r="A3" s="1" t="s">
        <v>66</v>
      </c>
      <c r="B3" s="1" t="s">
        <v>64</v>
      </c>
      <c r="C3" s="1">
        <v>3</v>
      </c>
      <c r="D3" s="1">
        <v>5</v>
      </c>
      <c r="E3">
        <v>10000</v>
      </c>
      <c r="F3">
        <v>0</v>
      </c>
      <c r="G3" t="s">
        <v>65</v>
      </c>
    </row>
    <row r="4" spans="1:7" ht="14.4" customHeight="1" x14ac:dyDescent="0.3">
      <c r="A4" s="1" t="s">
        <v>67</v>
      </c>
      <c r="B4" s="1" t="s">
        <v>64</v>
      </c>
      <c r="C4" s="1">
        <v>6</v>
      </c>
      <c r="D4" s="1">
        <v>15</v>
      </c>
      <c r="E4">
        <v>15000</v>
      </c>
      <c r="F4">
        <v>0</v>
      </c>
      <c r="G4" t="s">
        <v>65</v>
      </c>
    </row>
    <row r="5" spans="1:7" ht="14.4" customHeight="1" x14ac:dyDescent="0.3">
      <c r="A5" s="1" t="s">
        <v>68</v>
      </c>
      <c r="B5" s="1" t="s">
        <v>64</v>
      </c>
      <c r="C5" s="1">
        <v>15</v>
      </c>
      <c r="D5" s="1">
        <v>999999</v>
      </c>
      <c r="E5">
        <v>17000</v>
      </c>
      <c r="F5">
        <v>0</v>
      </c>
      <c r="G5" t="s">
        <v>65</v>
      </c>
    </row>
  </sheetData>
  <dataValidations count="1">
    <dataValidation type="list" allowBlank="1" showErrorMessage="1" sqref="G2:G100" xr:uid="{00000000-0002-0000-0200-000000000000}">
      <formula1>"Число,% выполнения"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5">
    <tabColor rgb="FFFFA500"/>
  </sheetPr>
  <dimension ref="A1:G5"/>
  <sheetViews>
    <sheetView workbookViewId="0">
      <selection activeCell="D5" sqref="D5"/>
    </sheetView>
  </sheetViews>
  <sheetFormatPr defaultRowHeight="14.4" x14ac:dyDescent="0.3"/>
  <cols>
    <col min="1" max="1" width="14.21875" style="1" customWidth="1"/>
    <col min="2" max="2" width="58.109375" style="1" customWidth="1"/>
    <col min="3" max="3" width="11.88671875" style="1" bestFit="1" customWidth="1"/>
    <col min="4" max="4" width="12.109375" style="1" bestFit="1" customWidth="1"/>
    <col min="5" max="5" width="10.44140625" style="1" bestFit="1" customWidth="1"/>
    <col min="6" max="6" width="8.88671875" style="1" customWidth="1"/>
    <col min="7" max="7" width="16" customWidth="1"/>
    <col min="8" max="8" width="8.88671875" style="1" customWidth="1"/>
    <col min="9" max="16384" width="8.88671875" style="1"/>
  </cols>
  <sheetData>
    <row r="1" spans="1:7" ht="14.4" customHeight="1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t="s">
        <v>61</v>
      </c>
      <c r="G1" t="s">
        <v>62</v>
      </c>
    </row>
    <row r="2" spans="1:7" ht="14.4" customHeight="1" x14ac:dyDescent="0.3">
      <c r="A2" s="1" t="s">
        <v>69</v>
      </c>
      <c r="B2" s="1" t="s">
        <v>70</v>
      </c>
      <c r="C2" s="1">
        <v>0</v>
      </c>
      <c r="D2" s="1">
        <v>2</v>
      </c>
      <c r="E2" s="1">
        <v>0</v>
      </c>
      <c r="F2">
        <v>0</v>
      </c>
      <c r="G2" t="s">
        <v>65</v>
      </c>
    </row>
    <row r="3" spans="1:7" ht="14.4" customHeight="1" x14ac:dyDescent="0.3">
      <c r="A3" s="1" t="s">
        <v>71</v>
      </c>
      <c r="B3" s="1" t="s">
        <v>70</v>
      </c>
      <c r="C3" s="1">
        <v>3</v>
      </c>
      <c r="D3" s="1">
        <v>5</v>
      </c>
      <c r="E3" s="1">
        <v>0.02</v>
      </c>
      <c r="F3">
        <v>0</v>
      </c>
      <c r="G3" t="s">
        <v>65</v>
      </c>
    </row>
    <row r="4" spans="1:7" ht="14.4" customHeight="1" x14ac:dyDescent="0.3">
      <c r="A4" s="1" t="s">
        <v>72</v>
      </c>
      <c r="B4" s="1" t="s">
        <v>70</v>
      </c>
      <c r="C4" s="1">
        <v>6</v>
      </c>
      <c r="D4" s="1">
        <v>15</v>
      </c>
      <c r="E4" s="1">
        <v>0.04</v>
      </c>
      <c r="F4">
        <v>0</v>
      </c>
      <c r="G4" t="s">
        <v>65</v>
      </c>
    </row>
    <row r="5" spans="1:7" ht="14.4" customHeight="1" x14ac:dyDescent="0.3">
      <c r="A5" s="1" t="s">
        <v>73</v>
      </c>
      <c r="B5" s="1" t="s">
        <v>70</v>
      </c>
      <c r="C5" s="1">
        <v>15</v>
      </c>
      <c r="D5" s="1">
        <v>999999</v>
      </c>
      <c r="E5" s="1">
        <v>0.05</v>
      </c>
      <c r="F5">
        <v>0</v>
      </c>
      <c r="G5" t="s">
        <v>65</v>
      </c>
    </row>
  </sheetData>
  <dataValidations count="1">
    <dataValidation type="list" allowBlank="1" showErrorMessage="1" sqref="G2:G100" xr:uid="{00000000-0002-0000-0300-000000000000}">
      <formula1>"Число,% выполнения"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6">
    <tabColor rgb="FFFFA500"/>
  </sheetPr>
  <dimension ref="A1:G4"/>
  <sheetViews>
    <sheetView workbookViewId="0">
      <selection activeCell="F16" sqref="F16"/>
    </sheetView>
  </sheetViews>
  <sheetFormatPr defaultRowHeight="14.4" x14ac:dyDescent="0.3"/>
  <cols>
    <col min="1" max="1" width="14.6640625" style="1" customWidth="1"/>
    <col min="2" max="2" width="48.21875" style="1" customWidth="1"/>
    <col min="3" max="3" width="11.88671875" style="1" bestFit="1" customWidth="1"/>
    <col min="4" max="4" width="12.109375" style="1" bestFit="1" customWidth="1"/>
    <col min="5" max="5" width="10.44140625" style="1" bestFit="1" customWidth="1"/>
    <col min="6" max="6" width="8.88671875" style="1" customWidth="1"/>
    <col min="7" max="7" width="16" customWidth="1"/>
    <col min="8" max="8" width="8.88671875" style="1" customWidth="1"/>
    <col min="9" max="16384" width="8.88671875" style="1"/>
  </cols>
  <sheetData>
    <row r="1" spans="1:7" ht="14.4" customHeight="1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t="s">
        <v>61</v>
      </c>
      <c r="G1" t="s">
        <v>62</v>
      </c>
    </row>
    <row r="2" spans="1:7" ht="14.4" customHeight="1" x14ac:dyDescent="0.3">
      <c r="A2" s="1" t="s">
        <v>74</v>
      </c>
      <c r="B2" s="1" t="s">
        <v>75</v>
      </c>
      <c r="C2" s="1">
        <v>0</v>
      </c>
      <c r="D2" s="1">
        <v>80</v>
      </c>
      <c r="E2" s="1">
        <v>0</v>
      </c>
      <c r="F2">
        <v>0</v>
      </c>
      <c r="G2" t="s">
        <v>65</v>
      </c>
    </row>
    <row r="3" spans="1:7" ht="14.4" customHeight="1" x14ac:dyDescent="0.3">
      <c r="A3" s="1" t="s">
        <v>76</v>
      </c>
      <c r="B3" s="1" t="s">
        <v>75</v>
      </c>
      <c r="C3" s="1">
        <v>80</v>
      </c>
      <c r="D3" s="1">
        <v>120</v>
      </c>
      <c r="E3" s="1">
        <v>1</v>
      </c>
      <c r="F3">
        <v>0</v>
      </c>
      <c r="G3" t="s">
        <v>77</v>
      </c>
    </row>
    <row r="4" spans="1:7" ht="14.4" customHeight="1" x14ac:dyDescent="0.3">
      <c r="A4" s="1" t="s">
        <v>78</v>
      </c>
      <c r="B4" s="1" t="s">
        <v>75</v>
      </c>
      <c r="C4" s="1">
        <v>120</v>
      </c>
      <c r="D4" s="1">
        <v>999999</v>
      </c>
      <c r="E4" s="1">
        <v>1.2</v>
      </c>
      <c r="F4">
        <v>0</v>
      </c>
      <c r="G4" t="s">
        <v>65</v>
      </c>
    </row>
  </sheetData>
  <dataValidations count="1">
    <dataValidation type="list" allowBlank="1" showErrorMessage="1" sqref="G2:G100" xr:uid="{00000000-0002-0000-0400-000000000000}">
      <formula1>"Число,% выполнения"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7">
    <tabColor rgb="FFFFA500"/>
  </sheetPr>
  <dimension ref="A1:G4"/>
  <sheetViews>
    <sheetView workbookViewId="0">
      <selection activeCell="E8" sqref="E8"/>
    </sheetView>
  </sheetViews>
  <sheetFormatPr defaultRowHeight="14.4" x14ac:dyDescent="0.3"/>
  <cols>
    <col min="1" max="1" width="18.5546875" style="1" customWidth="1"/>
    <col min="2" max="2" width="49" style="1" customWidth="1"/>
    <col min="3" max="3" width="11.88671875" style="1" bestFit="1" customWidth="1"/>
    <col min="4" max="4" width="12.109375" style="1" bestFit="1" customWidth="1"/>
    <col min="5" max="5" width="10.44140625" style="1" bestFit="1" customWidth="1"/>
    <col min="6" max="6" width="8.88671875" style="1" customWidth="1"/>
    <col min="7" max="7" width="16" customWidth="1"/>
    <col min="8" max="8" width="8.88671875" style="1" customWidth="1"/>
    <col min="9" max="16384" width="8.88671875" style="1"/>
  </cols>
  <sheetData>
    <row r="1" spans="1:7" ht="14.4" customHeight="1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t="s">
        <v>61</v>
      </c>
      <c r="G1" t="s">
        <v>62</v>
      </c>
    </row>
    <row r="2" spans="1:7" ht="14.4" customHeight="1" x14ac:dyDescent="0.3">
      <c r="A2" s="1" t="s">
        <v>79</v>
      </c>
      <c r="B2" s="1" t="s">
        <v>80</v>
      </c>
      <c r="C2" s="1">
        <v>0</v>
      </c>
      <c r="D2" s="1">
        <v>80</v>
      </c>
      <c r="E2" s="1">
        <v>0.5</v>
      </c>
      <c r="F2">
        <v>0</v>
      </c>
      <c r="G2" t="s">
        <v>65</v>
      </c>
    </row>
    <row r="3" spans="1:7" ht="14.4" customHeight="1" x14ac:dyDescent="0.3">
      <c r="A3" s="1" t="s">
        <v>81</v>
      </c>
      <c r="B3" s="1" t="s">
        <v>80</v>
      </c>
      <c r="C3" s="1">
        <v>80</v>
      </c>
      <c r="D3" s="1">
        <v>120</v>
      </c>
      <c r="E3" s="1">
        <v>1</v>
      </c>
      <c r="F3">
        <v>0</v>
      </c>
      <c r="G3" t="s">
        <v>77</v>
      </c>
    </row>
    <row r="4" spans="1:7" ht="14.4" customHeight="1" x14ac:dyDescent="0.3">
      <c r="A4" s="1" t="s">
        <v>82</v>
      </c>
      <c r="B4" s="1" t="s">
        <v>80</v>
      </c>
      <c r="C4" s="1">
        <v>120</v>
      </c>
      <c r="D4" s="1">
        <v>999999</v>
      </c>
      <c r="E4" s="1">
        <v>1.2</v>
      </c>
      <c r="F4">
        <v>0</v>
      </c>
      <c r="G4" t="s">
        <v>65</v>
      </c>
    </row>
  </sheetData>
  <dataValidations count="1">
    <dataValidation type="list" allowBlank="1" showErrorMessage="1" sqref="G2:G100" xr:uid="{00000000-0002-0000-0500-000000000000}">
      <formula1>"Число,% выполнения"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8">
    <tabColor rgb="FF00C0F0"/>
  </sheetPr>
  <dimension ref="A1:G10"/>
  <sheetViews>
    <sheetView workbookViewId="0">
      <selection activeCell="F2" sqref="F2:F8"/>
    </sheetView>
  </sheetViews>
  <sheetFormatPr defaultRowHeight="14.4" x14ac:dyDescent="0.3"/>
  <cols>
    <col min="1" max="1" width="10.88671875" bestFit="1" customWidth="1"/>
    <col min="2" max="2" width="27.44140625" bestFit="1" customWidth="1"/>
    <col min="3" max="3" width="9.6640625" bestFit="1" customWidth="1"/>
    <col min="4" max="4" width="22.5546875" customWidth="1"/>
    <col min="5" max="5" width="36.33203125" customWidth="1"/>
    <col min="6" max="6" width="43.44140625" customWidth="1"/>
    <col min="7" max="7" width="17.77734375" customWidth="1"/>
  </cols>
  <sheetData>
    <row r="1" spans="1:7" x14ac:dyDescent="0.3">
      <c r="A1" s="2" t="s">
        <v>2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3">
      <c r="A2" s="1">
        <v>10001</v>
      </c>
      <c r="B2" s="1" t="s">
        <v>18</v>
      </c>
      <c r="C2" s="1" t="s">
        <v>83</v>
      </c>
      <c r="D2" s="1" t="s">
        <v>84</v>
      </c>
      <c r="E2" s="1" t="s">
        <v>85</v>
      </c>
      <c r="F2" s="1" t="s">
        <v>37</v>
      </c>
      <c r="G2" s="1" t="s">
        <v>86</v>
      </c>
    </row>
    <row r="3" spans="1:7" x14ac:dyDescent="0.3">
      <c r="A3" s="1">
        <v>10002</v>
      </c>
      <c r="B3" s="1" t="s">
        <v>24</v>
      </c>
      <c r="C3" s="1" t="s">
        <v>83</v>
      </c>
      <c r="D3" s="1" t="s">
        <v>84</v>
      </c>
      <c r="E3" s="1" t="s">
        <v>85</v>
      </c>
      <c r="F3" s="1" t="s">
        <v>37</v>
      </c>
      <c r="G3" s="1" t="s">
        <v>87</v>
      </c>
    </row>
    <row r="4" spans="1:7" x14ac:dyDescent="0.3">
      <c r="A4" s="1">
        <v>10003</v>
      </c>
      <c r="B4" s="1" t="s">
        <v>21</v>
      </c>
      <c r="C4" s="1" t="s">
        <v>83</v>
      </c>
      <c r="D4" s="1" t="s">
        <v>88</v>
      </c>
      <c r="E4" s="1" t="s">
        <v>89</v>
      </c>
      <c r="F4" s="1" t="s">
        <v>55</v>
      </c>
      <c r="G4" s="1" t="s">
        <v>90</v>
      </c>
    </row>
    <row r="5" spans="1:7" x14ac:dyDescent="0.3">
      <c r="A5" s="1">
        <v>10004</v>
      </c>
      <c r="B5" s="1" t="s">
        <v>91</v>
      </c>
      <c r="C5" s="1" t="s">
        <v>83</v>
      </c>
      <c r="D5" s="1" t="s">
        <v>92</v>
      </c>
      <c r="E5" s="1" t="s">
        <v>93</v>
      </c>
      <c r="F5" s="1" t="s">
        <v>46</v>
      </c>
      <c r="G5" s="1" t="s">
        <v>86</v>
      </c>
    </row>
    <row r="6" spans="1:7" x14ac:dyDescent="0.3">
      <c r="A6" s="1">
        <v>10005</v>
      </c>
      <c r="B6" s="1" t="s">
        <v>94</v>
      </c>
      <c r="C6" s="1" t="s">
        <v>95</v>
      </c>
      <c r="D6" s="1" t="s">
        <v>84</v>
      </c>
      <c r="E6" s="1" t="s">
        <v>85</v>
      </c>
      <c r="F6" s="1" t="s">
        <v>37</v>
      </c>
      <c r="G6" s="1" t="s">
        <v>96</v>
      </c>
    </row>
    <row r="7" spans="1:7" x14ac:dyDescent="0.3">
      <c r="A7" s="1">
        <v>10006</v>
      </c>
      <c r="B7" s="1" t="s">
        <v>25</v>
      </c>
      <c r="C7" s="1" t="s">
        <v>95</v>
      </c>
      <c r="D7" s="1" t="s">
        <v>92</v>
      </c>
      <c r="E7" s="1" t="s">
        <v>93</v>
      </c>
      <c r="F7" s="1" t="s">
        <v>46</v>
      </c>
      <c r="G7" s="1" t="s">
        <v>90</v>
      </c>
    </row>
    <row r="8" spans="1:7" x14ac:dyDescent="0.3">
      <c r="A8" s="1">
        <v>10007</v>
      </c>
      <c r="B8" s="1" t="s">
        <v>23</v>
      </c>
      <c r="C8" s="1" t="s">
        <v>97</v>
      </c>
      <c r="D8" s="1" t="s">
        <v>88</v>
      </c>
      <c r="E8" s="1" t="s">
        <v>89</v>
      </c>
      <c r="F8" s="1" t="s">
        <v>55</v>
      </c>
      <c r="G8" s="1" t="s">
        <v>90</v>
      </c>
    </row>
    <row r="10" spans="1:7" x14ac:dyDescent="0.3">
      <c r="A1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9"/>
  <dimension ref="A1:B9"/>
  <sheetViews>
    <sheetView workbookViewId="0">
      <selection activeCell="R50" sqref="R50"/>
    </sheetView>
  </sheetViews>
  <sheetFormatPr defaultRowHeight="14.4" x14ac:dyDescent="0.3"/>
  <cols>
    <col min="1" max="1" width="23.109375" customWidth="1"/>
    <col min="2" max="2" width="22" customWidth="1"/>
  </cols>
  <sheetData>
    <row r="1" spans="1:2" x14ac:dyDescent="0.3">
      <c r="A1" t="s">
        <v>98</v>
      </c>
      <c r="B1" t="s">
        <v>30</v>
      </c>
    </row>
    <row r="2" spans="1:2" x14ac:dyDescent="0.3">
      <c r="A2" s="5">
        <v>46266</v>
      </c>
      <c r="B2" s="1" t="s">
        <v>36</v>
      </c>
    </row>
    <row r="3" spans="1:2" x14ac:dyDescent="0.3">
      <c r="A3" s="5">
        <v>46296</v>
      </c>
      <c r="B3" s="1" t="s">
        <v>36</v>
      </c>
    </row>
    <row r="4" spans="1:2" x14ac:dyDescent="0.3">
      <c r="A4" s="5">
        <v>46327</v>
      </c>
      <c r="B4" s="1" t="s">
        <v>36</v>
      </c>
    </row>
    <row r="5" spans="1:2" x14ac:dyDescent="0.3">
      <c r="A5" s="5">
        <v>46357</v>
      </c>
      <c r="B5" s="1" t="s">
        <v>36</v>
      </c>
    </row>
    <row r="6" spans="1:2" x14ac:dyDescent="0.3">
      <c r="A6" s="6" t="s">
        <v>99</v>
      </c>
      <c r="B6" s="1" t="s">
        <v>52</v>
      </c>
    </row>
    <row r="7" spans="1:2" x14ac:dyDescent="0.3">
      <c r="A7" s="6" t="s">
        <v>100</v>
      </c>
      <c r="B7" s="1" t="s">
        <v>52</v>
      </c>
    </row>
    <row r="8" spans="1:2" x14ac:dyDescent="0.3">
      <c r="A8" s="6" t="s">
        <v>20</v>
      </c>
      <c r="B8" s="1" t="s">
        <v>52</v>
      </c>
    </row>
    <row r="9" spans="1:2" x14ac:dyDescent="0.3">
      <c r="A9" s="6" t="s">
        <v>101</v>
      </c>
      <c r="B9" s="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50"/>
  <sheetViews>
    <sheetView workbookViewId="0">
      <pane xSplit="1" ySplit="1" topLeftCell="B2" activePane="bottomRight" state="frozen"/>
      <selection pane="topRight"/>
      <selection pane="bottomLeft"/>
      <selection pane="bottomRight" activeCell="I46" sqref="I46"/>
    </sheetView>
  </sheetViews>
  <sheetFormatPr defaultRowHeight="14.4" x14ac:dyDescent="0.3"/>
  <cols>
    <col min="1" max="1" width="14" customWidth="1"/>
    <col min="2" max="2" width="12" customWidth="1"/>
    <col min="3" max="3" width="15" customWidth="1"/>
    <col min="4" max="4" width="13" customWidth="1"/>
    <col min="5" max="5" width="28" customWidth="1"/>
    <col min="6" max="7" width="12" customWidth="1"/>
    <col min="8" max="8" width="30" customWidth="1"/>
    <col min="9" max="9" width="36" customWidth="1"/>
    <col min="10" max="10" width="12" customWidth="1"/>
    <col min="11" max="11" width="19" customWidth="1"/>
    <col min="12" max="12" width="48" customWidth="1"/>
    <col min="13" max="13" width="26" customWidth="1"/>
    <col min="14" max="14" width="28" customWidth="1"/>
    <col min="15" max="15" width="12" customWidth="1"/>
    <col min="16" max="16" width="26" customWidth="1"/>
    <col min="17" max="17" width="40" customWidth="1"/>
    <col min="18" max="18" width="15" customWidth="1"/>
    <col min="19" max="19" width="16" customWidth="1"/>
    <col min="20" max="20" width="12" customWidth="1"/>
    <col min="21" max="22" width="15" customWidth="1"/>
    <col min="23" max="23" width="13" customWidth="1"/>
    <col min="24" max="24" width="20" customWidth="1"/>
    <col min="25" max="25" width="14" customWidth="1"/>
    <col min="26" max="26" width="16" customWidth="1"/>
  </cols>
  <sheetData>
    <row r="1" spans="1:26" x14ac:dyDescent="0.3">
      <c r="A1" s="12" t="s">
        <v>102</v>
      </c>
      <c r="B1" s="12" t="s">
        <v>0</v>
      </c>
      <c r="C1" s="12" t="s">
        <v>15</v>
      </c>
      <c r="D1" s="12" t="s">
        <v>2</v>
      </c>
      <c r="E1" s="12" t="s">
        <v>1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28</v>
      </c>
      <c r="L1" s="12" t="s">
        <v>8</v>
      </c>
      <c r="M1" s="12" t="s">
        <v>17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103</v>
      </c>
      <c r="U1" s="12" t="s">
        <v>58</v>
      </c>
      <c r="V1" s="12" t="s">
        <v>59</v>
      </c>
      <c r="W1" s="12" t="s">
        <v>60</v>
      </c>
      <c r="X1" s="12" t="s">
        <v>61</v>
      </c>
      <c r="Y1" s="12" t="s">
        <v>104</v>
      </c>
      <c r="Z1" s="12" t="s">
        <v>62</v>
      </c>
    </row>
    <row r="2" spans="1:26" x14ac:dyDescent="0.3">
      <c r="A2">
        <f>IF(ISBLANK(ПОТ!$B2),"",ROW(ПОТ!$B2))</f>
        <v>2</v>
      </c>
      <c r="B2" s="13">
        <f>IF(ISBLANK(ПОТ!$A2),"",ПОТ!$A2)</f>
        <v>46266</v>
      </c>
      <c r="C2" t="str">
        <f>ПОТ!$P2</f>
        <v>ЕЖЕМЕСЯЧНО</v>
      </c>
      <c r="D2">
        <f>ПОТ!$C2</f>
        <v>10001</v>
      </c>
      <c r="E2" t="str">
        <f>IF(ISBLANK(ПОТ!$B2),"",ПОТ!$B2)</f>
        <v>Иванов Алексей Петрович</v>
      </c>
      <c r="F2" t="str">
        <f>ПОТ!$D2</f>
        <v>ДЦ Север</v>
      </c>
      <c r="G2" t="str">
        <f>ПОТ!$E2</f>
        <v>Продажи новых АМ</v>
      </c>
      <c r="H2" t="str">
        <f>ПОТ!$F2</f>
        <v>Отдел продаж новых АМ</v>
      </c>
      <c r="I2" t="str">
        <f>ПОТ!$G2</f>
        <v>Менеджер по продажам новых АМ</v>
      </c>
      <c r="J2" t="str">
        <f>ПОТ!$H2</f>
        <v>Haval</v>
      </c>
      <c r="K2" t="str">
        <f>IF(ISBLANK(ПОТ!$I2),"",IFERROR(_xlfn.XLOOKUP(ПОТ!$I2,Справ_ВидыПремий!$B:$B,Справ_ВидыПремий!$A:$A),""))</f>
        <v>BT-001</v>
      </c>
      <c r="L2" t="str">
        <f>IF(ISBLANK(ПОТ!$I2),"",ПОТ!$I2)</f>
        <v>Премия за количество новых АМ</v>
      </c>
      <c r="M2" t="str">
        <f>ПОТ!$R2</f>
        <v>BT-001_Премия_КолвоАМ</v>
      </c>
      <c r="N2" t="str">
        <f>ПОТ!$J2</f>
        <v>Кол-во проданных автомобилей</v>
      </c>
      <c r="O2" t="str">
        <f>ПОТ!$K2</f>
        <v>ед.</v>
      </c>
      <c r="P2">
        <f>IF(ISBLANK(ПОТ!$L2),"",ПОТ!$L2)</f>
        <v>10</v>
      </c>
      <c r="Q2" t="str">
        <f>ПОТ!$M2</f>
        <v/>
      </c>
      <c r="R2" t="str">
        <f>ПОТ!$N2</f>
        <v/>
      </c>
      <c r="S2" s="14" t="str">
        <f>IF(ISBLANK(ПОТ!$O2),"",ПОТ!$O2)</f>
        <v/>
      </c>
      <c r="T2" t="str">
        <f ca="1">IF(ПОТ!$R2="","",IFERROR(_xlfn.XLOOKUP(ПОТ!$L2,INDIRECT("'"&amp;ПОТ!$R2&amp;"'!$C:$C"),INDIRECT("'"&amp;ПОТ!$R2&amp;"'!$A:$A"),"",-1),""))</f>
        <v>SCALE-003</v>
      </c>
      <c r="U2">
        <f ca="1">IF(ПОТ!$R2="","",IFERROR(_xlfn.XLOOKUP(ПОТ!$L2,INDIRECT("'"&amp;ПОТ!$R2&amp;"'!$C:$C"),INDIRECT("'"&amp;ПОТ!$R2&amp;"'!$C:$C"),"",-1),""))</f>
        <v>6</v>
      </c>
      <c r="V2">
        <f ca="1">IF(ПОТ!$R2="","",IFERROR(_xlfn.XLOOKUP(ПОТ!$L2,INDIRECT("'"&amp;ПОТ!$R2&amp;"'!$C:$C"),INDIRECT("'"&amp;ПОТ!$R2&amp;"'!$D:$D"),"",-1),""))</f>
        <v>15</v>
      </c>
      <c r="W2">
        <f ca="1">IF(ПОТ!$R2="","",IF(IFERROR(_xlfn.XLOOKUP(ПОТ!$L2,INDIRECT("'"&amp;ПОТ!$R2&amp;"'!$C:$C"),INDIRECT("'"&amp;ПОТ!$R2&amp;"'!$G:$G"),"",-1),"")="% выполнения",ПОТ!$L2/100,IFERROR(_xlfn.XLOOKUP(ПОТ!$L2,INDIRECT("'"&amp;ПОТ!$R2&amp;"'!$C:$C"),INDIRECT("'"&amp;ПОТ!$R2&amp;"'!$E:$E"),"",-1),"")))</f>
        <v>15000</v>
      </c>
      <c r="X2" s="14">
        <f ca="1">IF(ПОТ!$R2="","",IFERROR(_xlfn.XLOOKUP(ПОТ!$L2,INDIRECT("'"&amp;ПОТ!$R2&amp;"'!$C:$C"),INDIRECT("'"&amp;ПОТ!$R2&amp;"'!$F:$F"),"",-1),""))</f>
        <v>0</v>
      </c>
      <c r="Y2" s="14">
        <f ca="1">ПОТ!$Q2</f>
        <v>150000</v>
      </c>
      <c r="Z2" t="str">
        <f ca="1">IF(ПОТ!$R2="","",IFERROR(_xlfn.XLOOKUP(ПОТ!$L2,INDIRECT("'"&amp;ПОТ!$R2&amp;"'!$C:$C"),INDIRECT("'"&amp;ПОТ!$R2&amp;"'!$G:$G"),"",-1),""))</f>
        <v>Число</v>
      </c>
    </row>
    <row r="3" spans="1:26" x14ac:dyDescent="0.3">
      <c r="A3">
        <f>IF(ISBLANK(ПОТ!$B3),"",ROW(ПОТ!$B3))</f>
        <v>3</v>
      </c>
      <c r="B3" s="13" t="str">
        <f>IF(ISBLANK(ПОТ!$A3),"",ПОТ!$A3)</f>
        <v>Q3 2026</v>
      </c>
      <c r="C3" t="str">
        <f>ПОТ!$P3</f>
        <v>ЕЖЕКВАРТАЛЬНО</v>
      </c>
      <c r="D3">
        <f>ПОТ!$C3</f>
        <v>10003</v>
      </c>
      <c r="E3" t="str">
        <f>IF(ISBLANK(ПОТ!$B3),"",ПОТ!$B3)</f>
        <v>Петров Игорь Владимирович</v>
      </c>
      <c r="F3" t="str">
        <f>ПОТ!$D3</f>
        <v>ДЦ Север</v>
      </c>
      <c r="G3" t="str">
        <f>ПОТ!$E3</f>
        <v>Финансовые услуги</v>
      </c>
      <c r="H3" t="str">
        <f>ПОТ!$F3</f>
        <v>Отдел кредитования и страхования</v>
      </c>
      <c r="I3" t="str">
        <f>ПОТ!$G3</f>
        <v>Менеджер по кредитованию и страхованию</v>
      </c>
      <c r="J3" t="str">
        <f>ПОТ!$H3</f>
        <v>ЛюбаяМарка</v>
      </c>
      <c r="K3" t="str">
        <f>IF(ISBLANK(ПОТ!$I3),"",IFERROR(_xlfn.XLOOKUP(ПОТ!$I3,Справ_ВидыПремий!$B:$B,Справ_ВидыПремий!$A:$A),""))</f>
        <v>BT-004</v>
      </c>
      <c r="L3" t="str">
        <f>IF(ISBLANK(ПОТ!$I3),"",ПОТ!$I3)</f>
        <v>Поквартальная премия от продажи финансовых услуг</v>
      </c>
      <c r="M3" t="str">
        <f>ПОТ!$R3</f>
        <v>BT-004_Премия_КВФин</v>
      </c>
      <c r="N3" t="str">
        <f>ПОТ!$J3</f>
        <v>% выполнения плана</v>
      </c>
      <c r="O3" t="str">
        <f>ПОТ!$K3</f>
        <v>%</v>
      </c>
      <c r="P3">
        <f>IF(ISBLANK(ПОТ!$L3),"",ПОТ!$L3)</f>
        <v>100</v>
      </c>
      <c r="Q3" t="str">
        <f>ПОТ!$M3</f>
        <v>Плановое значение премии за КВ от продажи финансовых услуг</v>
      </c>
      <c r="R3" t="str">
        <f>ПОТ!$N3</f>
        <v>руб.</v>
      </c>
      <c r="S3" s="14">
        <f>IF(ISBLANK(ПОТ!$O3),"",ПОТ!$O3)</f>
        <v>50000</v>
      </c>
      <c r="T3" t="str">
        <f ca="1">IF(ПОТ!$R3="","",IFERROR(_xlfn.XLOOKUP(ПОТ!$L3,INDIRECT("'"&amp;ПОТ!$R3&amp;"'!$C:$C"),INDIRECT("'"&amp;ПОТ!$R3&amp;"'!$A:$A"),"",-1),""))</f>
        <v>SCALE-013</v>
      </c>
      <c r="U3">
        <f ca="1">IF(ПОТ!$R3="","",IFERROR(_xlfn.XLOOKUP(ПОТ!$L3,INDIRECT("'"&amp;ПОТ!$R3&amp;"'!$C:$C"),INDIRECT("'"&amp;ПОТ!$R3&amp;"'!$C:$C"),"",-1),""))</f>
        <v>80</v>
      </c>
      <c r="V3">
        <f ca="1">IF(ПОТ!$R3="","",IFERROR(_xlfn.XLOOKUP(ПОТ!$L3,INDIRECT("'"&amp;ПОТ!$R3&amp;"'!$C:$C"),INDIRECT("'"&amp;ПОТ!$R3&amp;"'!$D:$D"),"",-1),""))</f>
        <v>120</v>
      </c>
      <c r="W3">
        <f ca="1">IF(ПОТ!$R3="","",IF(IFERROR(_xlfn.XLOOKUP(ПОТ!$L3,INDIRECT("'"&amp;ПОТ!$R3&amp;"'!$C:$C"),INDIRECT("'"&amp;ПОТ!$R3&amp;"'!$G:$G"),"",-1),"")="% выполнения",ПОТ!$L3/100,IFERROR(_xlfn.XLOOKUP(ПОТ!$L3,INDIRECT("'"&amp;ПОТ!$R3&amp;"'!$C:$C"),INDIRECT("'"&amp;ПОТ!$R3&amp;"'!$E:$E"),"",-1),"")))</f>
        <v>1</v>
      </c>
      <c r="X3" s="14">
        <f ca="1">IF(ПОТ!$R3="","",IFERROR(_xlfn.XLOOKUP(ПОТ!$L3,INDIRECT("'"&amp;ПОТ!$R3&amp;"'!$C:$C"),INDIRECT("'"&amp;ПОТ!$R3&amp;"'!$F:$F"),"",-1),""))</f>
        <v>0</v>
      </c>
      <c r="Y3" s="14">
        <f ca="1">ПОТ!$Q3</f>
        <v>50000</v>
      </c>
      <c r="Z3" t="str">
        <f ca="1">IF(ПОТ!$R3="","",IFERROR(_xlfn.XLOOKUP(ПОТ!$L3,INDIRECT("'"&amp;ПОТ!$R3&amp;"'!$C:$C"),INDIRECT("'"&amp;ПОТ!$R3&amp;"'!$G:$G"),"",-1),""))</f>
        <v>% выполнения</v>
      </c>
    </row>
    <row r="4" spans="1:26" x14ac:dyDescent="0.3">
      <c r="A4">
        <f>IF(ISBLANK(ПОТ!$B4),"",ROW(ПОТ!$B4))</f>
        <v>4</v>
      </c>
      <c r="B4" s="13" t="str">
        <f>IF(ISBLANK(ПОТ!$A4),"",ПОТ!$A4)</f>
        <v>Q3 2026</v>
      </c>
      <c r="C4" t="str">
        <f>ПОТ!$P4</f>
        <v>ЕЖЕКВАРТАЛЬНО</v>
      </c>
      <c r="D4">
        <f>ПОТ!$C4</f>
        <v>10003</v>
      </c>
      <c r="E4" t="str">
        <f>IF(ISBLANK(ПОТ!$B4),"",ПОТ!$B4)</f>
        <v>Петров Игорь Владимирович</v>
      </c>
      <c r="F4" t="str">
        <f>ПОТ!$D4</f>
        <v>ДЦ Север</v>
      </c>
      <c r="G4" t="str">
        <f>ПОТ!$E4</f>
        <v>Финансовые услуги</v>
      </c>
      <c r="H4" t="str">
        <f>ПОТ!$F4</f>
        <v>Отдел кредитования и страхования</v>
      </c>
      <c r="I4" t="str">
        <f>ПОТ!$G4</f>
        <v>Менеджер по кредитованию и страхованию</v>
      </c>
      <c r="J4" t="str">
        <f>ПОТ!$H4</f>
        <v>ЛюбаяМарка</v>
      </c>
      <c r="K4" t="str">
        <f>IF(ISBLANK(ПОТ!$I4),"",IFERROR(_xlfn.XLOOKUP(ПОТ!$I4,Справ_ВидыПремий!$B:$B,Справ_ВидыПремий!$A:$A),""))</f>
        <v>BT-004</v>
      </c>
      <c r="L4" t="str">
        <f>IF(ISBLANK(ПОТ!$I4),"",ПОТ!$I4)</f>
        <v>Поквартальная премия от продажи финансовых услуг</v>
      </c>
      <c r="M4" t="str">
        <f>ПОТ!$R4</f>
        <v>BT-004_Премия_КВФин</v>
      </c>
      <c r="N4" t="str">
        <f>ПОТ!$J4</f>
        <v>% выполнения плана</v>
      </c>
      <c r="O4" t="str">
        <f>ПОТ!$K4</f>
        <v>%</v>
      </c>
      <c r="P4">
        <f>IF(ISBLANK(ПОТ!$L4),"",ПОТ!$L4)</f>
        <v>120</v>
      </c>
      <c r="Q4" t="str">
        <f>ПОТ!$M4</f>
        <v>Плановое значение премии за КВ от продажи финансовых услуг</v>
      </c>
      <c r="R4" t="str">
        <f>ПОТ!$N4</f>
        <v>руб.</v>
      </c>
      <c r="S4" s="14">
        <f>IF(ISBLANK(ПОТ!$O4),"",ПОТ!$O4)</f>
        <v>50000</v>
      </c>
      <c r="T4" t="str">
        <f ca="1">IF(ПОТ!$R4="","",IFERROR(_xlfn.XLOOKUP(ПОТ!$L4,INDIRECT("'"&amp;ПОТ!$R4&amp;"'!$C:$C"),INDIRECT("'"&amp;ПОТ!$R4&amp;"'!$A:$A"),"",-1),""))</f>
        <v>SCALE-014</v>
      </c>
      <c r="U4">
        <f ca="1">IF(ПОТ!$R4="","",IFERROR(_xlfn.XLOOKUP(ПОТ!$L4,INDIRECT("'"&amp;ПОТ!$R4&amp;"'!$C:$C"),INDIRECT("'"&amp;ПОТ!$R4&amp;"'!$C:$C"),"",-1),""))</f>
        <v>120</v>
      </c>
      <c r="V4">
        <f ca="1">IF(ПОТ!$R4="","",IFERROR(_xlfn.XLOOKUP(ПОТ!$L4,INDIRECT("'"&amp;ПОТ!$R4&amp;"'!$C:$C"),INDIRECT("'"&amp;ПОТ!$R4&amp;"'!$D:$D"),"",-1),""))</f>
        <v>999999</v>
      </c>
      <c r="W4">
        <f ca="1">IF(ПОТ!$R4="","",IF(IFERROR(_xlfn.XLOOKUP(ПОТ!$L4,INDIRECT("'"&amp;ПОТ!$R4&amp;"'!$C:$C"),INDIRECT("'"&amp;ПОТ!$R4&amp;"'!$G:$G"),"",-1),"")="% выполнения",ПОТ!$L4/100,IFERROR(_xlfn.XLOOKUP(ПОТ!$L4,INDIRECT("'"&amp;ПОТ!$R4&amp;"'!$C:$C"),INDIRECT("'"&amp;ПОТ!$R4&amp;"'!$E:$E"),"",-1),"")))</f>
        <v>1.2</v>
      </c>
      <c r="X4" s="14">
        <f ca="1">IF(ПОТ!$R4="","",IFERROR(_xlfn.XLOOKUP(ПОТ!$L4,INDIRECT("'"&amp;ПОТ!$R4&amp;"'!$C:$C"),INDIRECT("'"&amp;ПОТ!$R4&amp;"'!$F:$F"),"",-1),""))</f>
        <v>0</v>
      </c>
      <c r="Y4" s="14">
        <f ca="1">ПОТ!$Q4</f>
        <v>60000</v>
      </c>
      <c r="Z4" t="str">
        <f ca="1">IF(ПОТ!$R4="","",IFERROR(_xlfn.XLOOKUP(ПОТ!$L4,INDIRECT("'"&amp;ПОТ!$R4&amp;"'!$C:$C"),INDIRECT("'"&amp;ПОТ!$R4&amp;"'!$G:$G"),"",-1),""))</f>
        <v>Число</v>
      </c>
    </row>
    <row r="5" spans="1:26" x14ac:dyDescent="0.3">
      <c r="A5">
        <f>IF(ISBLANK(ПОТ!$B5),"",ROW(ПОТ!$B5))</f>
        <v>5</v>
      </c>
      <c r="B5" s="13" t="str">
        <f>IF(ISBLANK(ПОТ!$A5),"",ПОТ!$A5)</f>
        <v>Q3 2026</v>
      </c>
      <c r="C5" t="str">
        <f>ПОТ!$P5</f>
        <v>ЕЖЕКВАРТАЛЬНО</v>
      </c>
      <c r="D5">
        <f>ПОТ!$C5</f>
        <v>10007</v>
      </c>
      <c r="E5" t="str">
        <f>IF(ISBLANK(ПОТ!$B5),"",ПОТ!$B5)</f>
        <v>Лебедев Константин Юрьевич</v>
      </c>
      <c r="F5" t="str">
        <f>ПОТ!$D5</f>
        <v>ДЦ Запад</v>
      </c>
      <c r="G5" t="str">
        <f>ПОТ!$E5</f>
        <v>Финансовые услуги</v>
      </c>
      <c r="H5" t="str">
        <f>ПОТ!$F5</f>
        <v>Отдел кредитования и страхования</v>
      </c>
      <c r="I5" t="str">
        <f>ПОТ!$G5</f>
        <v>Менеджер по кредитованию и страхованию</v>
      </c>
      <c r="J5" t="str">
        <f>ПОТ!$H5</f>
        <v>ЛюбаяМарка</v>
      </c>
      <c r="K5" t="str">
        <f>IF(ISBLANK(ПОТ!$I5),"",IFERROR(_xlfn.XLOOKUP(ПОТ!$I5,Справ_ВидыПремий!$B:$B,Справ_ВидыПремий!$A:$A),""))</f>
        <v>BT-004</v>
      </c>
      <c r="L5" t="str">
        <f>IF(ISBLANK(ПОТ!$I5),"",ПОТ!$I5)</f>
        <v>Поквартальная премия от продажи финансовых услуг</v>
      </c>
      <c r="M5" t="str">
        <f>ПОТ!$R5</f>
        <v>BT-004_Премия_КВФин</v>
      </c>
      <c r="N5" t="str">
        <f>ПОТ!$J5</f>
        <v>% выполнения плана</v>
      </c>
      <c r="O5" t="str">
        <f>ПОТ!$K5</f>
        <v>%</v>
      </c>
      <c r="P5">
        <f>IF(ISBLANK(ПОТ!$L5),"",ПОТ!$L5)</f>
        <v>76</v>
      </c>
      <c r="Q5" t="str">
        <f>ПОТ!$M5</f>
        <v>Плановое значение премии за КВ от продажи финансовых услуг</v>
      </c>
      <c r="R5" t="str">
        <f>ПОТ!$N5</f>
        <v>руб.</v>
      </c>
      <c r="S5" s="14">
        <f>IF(ISBLANK(ПОТ!$O5),"",ПОТ!$O5)</f>
        <v>50000</v>
      </c>
      <c r="T5" t="str">
        <f ca="1">IF(ПОТ!$R5="","",IFERROR(_xlfn.XLOOKUP(ПОТ!$L5,INDIRECT("'"&amp;ПОТ!$R5&amp;"'!$C:$C"),INDIRECT("'"&amp;ПОТ!$R5&amp;"'!$A:$A"),"",-1),""))</f>
        <v>SCALE-012</v>
      </c>
      <c r="U5">
        <f ca="1">IF(ПОТ!$R5="","",IFERROR(_xlfn.XLOOKUP(ПОТ!$L5,INDIRECT("'"&amp;ПОТ!$R5&amp;"'!$C:$C"),INDIRECT("'"&amp;ПОТ!$R5&amp;"'!$C:$C"),"",-1),""))</f>
        <v>0</v>
      </c>
      <c r="V5">
        <f ca="1">IF(ПОТ!$R5="","",IFERROR(_xlfn.XLOOKUP(ПОТ!$L5,INDIRECT("'"&amp;ПОТ!$R5&amp;"'!$C:$C"),INDIRECT("'"&amp;ПОТ!$R5&amp;"'!$D:$D"),"",-1),""))</f>
        <v>80</v>
      </c>
      <c r="W5">
        <f ca="1">IF(ПОТ!$R5="","",IF(IFERROR(_xlfn.XLOOKUP(ПОТ!$L5,INDIRECT("'"&amp;ПОТ!$R5&amp;"'!$C:$C"),INDIRECT("'"&amp;ПОТ!$R5&amp;"'!$G:$G"),"",-1),"")="% выполнения",ПОТ!$L5/100,IFERROR(_xlfn.XLOOKUP(ПОТ!$L5,INDIRECT("'"&amp;ПОТ!$R5&amp;"'!$C:$C"),INDIRECT("'"&amp;ПОТ!$R5&amp;"'!$E:$E"),"",-1),"")))</f>
        <v>0.5</v>
      </c>
      <c r="X5" s="14">
        <f ca="1">IF(ПОТ!$R5="","",IFERROR(_xlfn.XLOOKUP(ПОТ!$L5,INDIRECT("'"&amp;ПОТ!$R5&amp;"'!$C:$C"),INDIRECT("'"&amp;ПОТ!$R5&amp;"'!$F:$F"),"",-1),""))</f>
        <v>0</v>
      </c>
      <c r="Y5" s="14">
        <f ca="1">ПОТ!$Q5</f>
        <v>25000</v>
      </c>
      <c r="Z5" t="str">
        <f ca="1">IF(ПОТ!$R5="","",IFERROR(_xlfn.XLOOKUP(ПОТ!$L5,INDIRECT("'"&amp;ПОТ!$R5&amp;"'!$C:$C"),INDIRECT("'"&amp;ПОТ!$R5&amp;"'!$G:$G"),"",-1),""))</f>
        <v>Число</v>
      </c>
    </row>
    <row r="6" spans="1:26" x14ac:dyDescent="0.3">
      <c r="A6">
        <f>IF(ISBLANK(ПОТ!$B6),"",ROW(ПОТ!$B6))</f>
        <v>6</v>
      </c>
      <c r="B6" s="13">
        <f>IF(ISBLANK(ПОТ!$A6),"",ПОТ!$A6)</f>
        <v>46327</v>
      </c>
      <c r="C6" t="str">
        <f>ПОТ!$P6</f>
        <v>ЕЖЕМЕСЯЧНО</v>
      </c>
      <c r="D6">
        <f>ПОТ!$C6</f>
        <v>10002</v>
      </c>
      <c r="E6" t="str">
        <f>IF(ISBLANK(ПОТ!$B6),"",ПОТ!$B6)</f>
        <v>Смирнова Елена Сергеевна</v>
      </c>
      <c r="F6" t="str">
        <f>ПОТ!$D6</f>
        <v>ДЦ Север</v>
      </c>
      <c r="G6" t="str">
        <f>ПОТ!$E6</f>
        <v>Продажи новых АМ</v>
      </c>
      <c r="H6" t="str">
        <f>ПОТ!$F6</f>
        <v>Отдел продаж новых АМ</v>
      </c>
      <c r="I6" t="str">
        <f>ПОТ!$G6</f>
        <v>Менеджер по продажам новых АМ</v>
      </c>
      <c r="J6" t="str">
        <f>ПОТ!$H6</f>
        <v>Chery</v>
      </c>
      <c r="K6" t="str">
        <f>IF(ISBLANK(ПОТ!$I6),"",IFERROR(_xlfn.XLOOKUP(ПОТ!$I6,Справ_ВидыПремий!$B:$B,Справ_ВидыПремий!$A:$A),""))</f>
        <v>BT-001</v>
      </c>
      <c r="L6" t="str">
        <f>IF(ISBLANK(ПОТ!$I6),"",ПОТ!$I6)</f>
        <v>Премия за количество новых АМ</v>
      </c>
      <c r="M6" t="str">
        <f>ПОТ!$R6</f>
        <v>BT-001_Премия_КолвоАМ</v>
      </c>
      <c r="N6" t="str">
        <f>ПОТ!$J6</f>
        <v>Кол-во проданных автомобилей</v>
      </c>
      <c r="O6" t="str">
        <f>ПОТ!$K6</f>
        <v>ед.</v>
      </c>
      <c r="P6">
        <f>IF(ISBLANK(ПОТ!$L6),"",ПОТ!$L6)</f>
        <v>30</v>
      </c>
      <c r="Q6" t="str">
        <f>ПОТ!$M6</f>
        <v/>
      </c>
      <c r="R6" t="str">
        <f>ПОТ!$N6</f>
        <v/>
      </c>
      <c r="S6" s="14" t="str">
        <f>IF(ISBLANK(ПОТ!$O6),"",ПОТ!$O6)</f>
        <v/>
      </c>
      <c r="T6" t="str">
        <f ca="1">IF(ПОТ!$R6="","",IFERROR(_xlfn.XLOOKUP(ПОТ!$L6,INDIRECT("'"&amp;ПОТ!$R6&amp;"'!$C:$C"),INDIRECT("'"&amp;ПОТ!$R6&amp;"'!$A:$A"),"",-1),""))</f>
        <v>SCALE-004</v>
      </c>
      <c r="U6">
        <f ca="1">IF(ПОТ!$R6="","",IFERROR(_xlfn.XLOOKUP(ПОТ!$L6,INDIRECT("'"&amp;ПОТ!$R6&amp;"'!$C:$C"),INDIRECT("'"&amp;ПОТ!$R6&amp;"'!$C:$C"),"",-1),""))</f>
        <v>15</v>
      </c>
      <c r="V6">
        <f ca="1">IF(ПОТ!$R6="","",IFERROR(_xlfn.XLOOKUP(ПОТ!$L6,INDIRECT("'"&amp;ПОТ!$R6&amp;"'!$C:$C"),INDIRECT("'"&amp;ПОТ!$R6&amp;"'!$D:$D"),"",-1),""))</f>
        <v>999999</v>
      </c>
      <c r="W6">
        <f ca="1">IF(ПОТ!$R6="","",IF(IFERROR(_xlfn.XLOOKUP(ПОТ!$L6,INDIRECT("'"&amp;ПОТ!$R6&amp;"'!$C:$C"),INDIRECT("'"&amp;ПОТ!$R6&amp;"'!$G:$G"),"",-1),"")="% выполнения",ПОТ!$L6/100,IFERROR(_xlfn.XLOOKUP(ПОТ!$L6,INDIRECT("'"&amp;ПОТ!$R6&amp;"'!$C:$C"),INDIRECT("'"&amp;ПОТ!$R6&amp;"'!$E:$E"),"",-1),"")))</f>
        <v>17000</v>
      </c>
      <c r="X6" s="14">
        <f ca="1">IF(ПОТ!$R6="","",IFERROR(_xlfn.XLOOKUP(ПОТ!$L6,INDIRECT("'"&amp;ПОТ!$R6&amp;"'!$C:$C"),INDIRECT("'"&amp;ПОТ!$R6&amp;"'!$F:$F"),"",-1),""))</f>
        <v>0</v>
      </c>
      <c r="Y6" s="14">
        <f ca="1">ПОТ!$Q6</f>
        <v>510000</v>
      </c>
      <c r="Z6" t="str">
        <f ca="1">IF(ПОТ!$R6="","",IFERROR(_xlfn.XLOOKUP(ПОТ!$L6,INDIRECT("'"&amp;ПОТ!$R6&amp;"'!$C:$C"),INDIRECT("'"&amp;ПОТ!$R6&amp;"'!$G:$G"),"",-1),""))</f>
        <v>Число</v>
      </c>
    </row>
    <row r="7" spans="1:26" x14ac:dyDescent="0.3">
      <c r="A7">
        <f>IF(ISBLANK(ПОТ!$B7),"",ROW(ПОТ!$B7))</f>
        <v>7</v>
      </c>
      <c r="B7" s="13">
        <f>IF(ISBLANK(ПОТ!$A7),"",ПОТ!$A7)</f>
        <v>46357</v>
      </c>
      <c r="C7" t="str">
        <f>ПОТ!$P7</f>
        <v>ЕЖЕМЕСЯЧНО</v>
      </c>
      <c r="D7">
        <f>ПОТ!$C7</f>
        <v>10006</v>
      </c>
      <c r="E7" t="str">
        <f>IF(ISBLANK(ПОТ!$B7),"",ПОТ!$B7)</f>
        <v>Морозова Анна Павловна</v>
      </c>
      <c r="F7" t="str">
        <f>ПОТ!$D7</f>
        <v>ДЦ Юг</v>
      </c>
      <c r="G7" t="str">
        <f>ПОТ!$E7</f>
        <v>Сервис</v>
      </c>
      <c r="H7" t="str">
        <f>ПОТ!$F7</f>
        <v>Сервисный центр</v>
      </c>
      <c r="I7" t="str">
        <f>ПОТ!$G7</f>
        <v>Мастер-консультант</v>
      </c>
      <c r="J7" t="str">
        <f>ПОТ!$H7</f>
        <v>ЛюбаяМарка</v>
      </c>
      <c r="K7" t="str">
        <f>IF(ISBLANK(ПОТ!$I7),"",IFERROR(_xlfn.XLOOKUP(ПОТ!$I7,Справ_ВидыПремий!$B:$B,Справ_ВидыПремий!$A:$A),""))</f>
        <v>BT-003</v>
      </c>
      <c r="L7" t="str">
        <f>IF(ISBLANK(ПОТ!$I7),"",ПОТ!$I7)</f>
        <v>Премия за маржу сервиса</v>
      </c>
      <c r="M7" t="str">
        <f>ПОТ!$R7</f>
        <v>BT-003_Премия_МаржаСервис</v>
      </c>
      <c r="N7" t="str">
        <f>ПОТ!$J7</f>
        <v>% выполнения плана</v>
      </c>
      <c r="O7" t="str">
        <f>ПОТ!$K7</f>
        <v>%</v>
      </c>
      <c r="P7">
        <f>IF(ISBLANK(ПОТ!$L7),"",ПОТ!$L7)</f>
        <v>140</v>
      </c>
      <c r="Q7" t="str">
        <f>ПОТ!$M7</f>
        <v>Маржа от продажи сервисных услуг</v>
      </c>
      <c r="R7" t="str">
        <f>ПОТ!$N7</f>
        <v>руб.</v>
      </c>
      <c r="S7" s="14">
        <f>IF(ISBLANK(ПОТ!$O7),"",ПОТ!$O7)</f>
        <v>800000</v>
      </c>
      <c r="T7" t="str">
        <f ca="1">IF(ПОТ!$R7="","",IFERROR(_xlfn.XLOOKUP(ПОТ!$L7,INDIRECT("'"&amp;ПОТ!$R7&amp;"'!$C:$C"),INDIRECT("'"&amp;ПОТ!$R7&amp;"'!$A:$A"),"",-1),""))</f>
        <v>SCALE-011</v>
      </c>
      <c r="U7">
        <f ca="1">IF(ПОТ!$R7="","",IFERROR(_xlfn.XLOOKUP(ПОТ!$L7,INDIRECT("'"&amp;ПОТ!$R7&amp;"'!$C:$C"),INDIRECT("'"&amp;ПОТ!$R7&amp;"'!$C:$C"),"",-1),""))</f>
        <v>120</v>
      </c>
      <c r="V7">
        <f ca="1">IF(ПОТ!$R7="","",IFERROR(_xlfn.XLOOKUP(ПОТ!$L7,INDIRECT("'"&amp;ПОТ!$R7&amp;"'!$C:$C"),INDIRECT("'"&amp;ПОТ!$R7&amp;"'!$D:$D"),"",-1),""))</f>
        <v>999999</v>
      </c>
      <c r="W7">
        <f ca="1">IF(ПОТ!$R7="","",IF(IFERROR(_xlfn.XLOOKUP(ПОТ!$L7,INDIRECT("'"&amp;ПОТ!$R7&amp;"'!$C:$C"),INDIRECT("'"&amp;ПОТ!$R7&amp;"'!$G:$G"),"",-1),"")="% выполнения",ПОТ!$L7/100,IFERROR(_xlfn.XLOOKUP(ПОТ!$L7,INDIRECT("'"&amp;ПОТ!$R7&amp;"'!$C:$C"),INDIRECT("'"&amp;ПОТ!$R7&amp;"'!$E:$E"),"",-1),"")))</f>
        <v>1.2</v>
      </c>
      <c r="X7" s="14">
        <f ca="1">IF(ПОТ!$R7="","",IFERROR(_xlfn.XLOOKUP(ПОТ!$L7,INDIRECT("'"&amp;ПОТ!$R7&amp;"'!$C:$C"),INDIRECT("'"&amp;ПОТ!$R7&amp;"'!$F:$F"),"",-1),""))</f>
        <v>0</v>
      </c>
      <c r="Y7" s="14">
        <f ca="1">ПОТ!$Q7</f>
        <v>960000</v>
      </c>
      <c r="Z7" t="str">
        <f ca="1">IF(ПОТ!$R7="","",IFERROR(_xlfn.XLOOKUP(ПОТ!$L7,INDIRECT("'"&amp;ПОТ!$R7&amp;"'!$C:$C"),INDIRECT("'"&amp;ПОТ!$R7&amp;"'!$G:$G"),"",-1),""))</f>
        <v>Число</v>
      </c>
    </row>
    <row r="8" spans="1:26" x14ac:dyDescent="0.3">
      <c r="A8">
        <f>IF(ISBLANK(ПОТ!$B8),"",ROW(ПОТ!$B8))</f>
        <v>8</v>
      </c>
      <c r="B8" s="13">
        <f>IF(ISBLANK(ПОТ!$A8),"",ПОТ!$A8)</f>
        <v>46296</v>
      </c>
      <c r="C8" t="str">
        <f>ПОТ!$P8</f>
        <v>ЕЖЕМЕСЯЧНО</v>
      </c>
      <c r="D8">
        <f>ПОТ!$C8</f>
        <v>10001</v>
      </c>
      <c r="E8" t="str">
        <f>IF(ISBLANK(ПОТ!$B8),"",ПОТ!$B8)</f>
        <v>Иванов Алексей Петрович</v>
      </c>
      <c r="F8" t="str">
        <f>ПОТ!$D8</f>
        <v>ДЦ Север</v>
      </c>
      <c r="G8" t="str">
        <f>ПОТ!$E8</f>
        <v>Продажи новых АМ</v>
      </c>
      <c r="H8" t="str">
        <f>ПОТ!$F8</f>
        <v>Отдел продаж новых АМ</v>
      </c>
      <c r="I8" t="str">
        <f>ПОТ!$G8</f>
        <v>Менеджер по продажам новых АМ</v>
      </c>
      <c r="J8" t="str">
        <f>ПОТ!$H8</f>
        <v>Haval</v>
      </c>
      <c r="K8" t="str">
        <f>IF(ISBLANK(ПОТ!$I8),"",IFERROR(_xlfn.XLOOKUP(ПОТ!$I8,Справ_ВидыПремий!$B:$B,Справ_ВидыПремий!$A:$A),""))</f>
        <v>BT-002</v>
      </c>
      <c r="L8" t="str">
        <f>IF(ISBLANK(ПОТ!$I8),"",ПОТ!$I8)</f>
        <v>Премия за кумулятивную маржу</v>
      </c>
      <c r="M8" t="str">
        <f>ПОТ!$R8</f>
        <v>BT-002_Премия_КумМаржа</v>
      </c>
      <c r="N8" t="str">
        <f>ПОТ!$J8</f>
        <v>Кол-во проданных автомобилей</v>
      </c>
      <c r="O8" t="str">
        <f>ПОТ!$K8</f>
        <v>ед.</v>
      </c>
      <c r="P8">
        <f>IF(ISBLANK(ПОТ!$L8),"",ПОТ!$L8)</f>
        <v>12</v>
      </c>
      <c r="Q8" t="str">
        <f>ПОТ!$M8</f>
        <v>Кумулятивная маржа при продаже нового АМ</v>
      </c>
      <c r="R8" t="str">
        <f>ПОТ!$N8</f>
        <v>руб.</v>
      </c>
      <c r="S8" s="14">
        <f>IF(ISBLANK(ПОТ!$O8),"",ПОТ!$O8)</f>
        <v>12000000</v>
      </c>
      <c r="T8" t="str">
        <f ca="1">IF(ПОТ!$R8="","",IFERROR(_xlfn.XLOOKUP(ПОТ!$L8,INDIRECT("'"&amp;ПОТ!$R8&amp;"'!$C:$C"),INDIRECT("'"&amp;ПОТ!$R8&amp;"'!$A:$A"),"",-1),""))</f>
        <v>SCALE-007</v>
      </c>
      <c r="U8">
        <f ca="1">IF(ПОТ!$R8="","",IFERROR(_xlfn.XLOOKUP(ПОТ!$L8,INDIRECT("'"&amp;ПОТ!$R8&amp;"'!$C:$C"),INDIRECT("'"&amp;ПОТ!$R8&amp;"'!$C:$C"),"",-1),""))</f>
        <v>6</v>
      </c>
      <c r="V8">
        <f ca="1">IF(ПОТ!$R8="","",IFERROR(_xlfn.XLOOKUP(ПОТ!$L8,INDIRECT("'"&amp;ПОТ!$R8&amp;"'!$C:$C"),INDIRECT("'"&amp;ПОТ!$R8&amp;"'!$D:$D"),"",-1),""))</f>
        <v>15</v>
      </c>
      <c r="W8">
        <f ca="1">IF(ПОТ!$R8="","",IF(IFERROR(_xlfn.XLOOKUP(ПОТ!$L8,INDIRECT("'"&amp;ПОТ!$R8&amp;"'!$C:$C"),INDIRECT("'"&amp;ПОТ!$R8&amp;"'!$G:$G"),"",-1),"")="% выполнения",ПОТ!$L8/100,IFERROR(_xlfn.XLOOKUP(ПОТ!$L8,INDIRECT("'"&amp;ПОТ!$R8&amp;"'!$C:$C"),INDIRECT("'"&amp;ПОТ!$R8&amp;"'!$E:$E"),"",-1),"")))</f>
        <v>0.04</v>
      </c>
      <c r="X8" s="14">
        <f ca="1">IF(ПОТ!$R8="","",IFERROR(_xlfn.XLOOKUP(ПОТ!$L8,INDIRECT("'"&amp;ПОТ!$R8&amp;"'!$C:$C"),INDIRECT("'"&amp;ПОТ!$R8&amp;"'!$F:$F"),"",-1),""))</f>
        <v>0</v>
      </c>
      <c r="Y8" s="14">
        <f ca="1">ПОТ!$Q8</f>
        <v>480000</v>
      </c>
      <c r="Z8" t="str">
        <f ca="1">IF(ПОТ!$R8="","",IFERROR(_xlfn.XLOOKUP(ПОТ!$L8,INDIRECT("'"&amp;ПОТ!$R8&amp;"'!$C:$C"),INDIRECT("'"&amp;ПОТ!$R8&amp;"'!$G:$G"),"",-1),""))</f>
        <v>Число</v>
      </c>
    </row>
    <row r="9" spans="1:26" x14ac:dyDescent="0.3">
      <c r="A9">
        <f>IF(ISBLANK(ПОТ!$B9),"",ROW(ПОТ!$B9))</f>
        <v>9</v>
      </c>
      <c r="B9" s="13" t="str">
        <f>IF(ISBLANK(ПОТ!$A9),"",ПОТ!$A9)</f>
        <v>Q3 2026</v>
      </c>
      <c r="C9" t="str">
        <f>ПОТ!$P9</f>
        <v>ЕЖЕКВАРТАЛЬНО</v>
      </c>
      <c r="D9">
        <f>ПОТ!$C9</f>
        <v>10007</v>
      </c>
      <c r="E9" t="str">
        <f>IF(ISBLANK(ПОТ!$B9),"",ПОТ!$B9)</f>
        <v>Лебедев Константин Юрьевич</v>
      </c>
      <c r="F9" t="str">
        <f>ПОТ!$D9</f>
        <v>ДЦ Запад</v>
      </c>
      <c r="G9" t="str">
        <f>ПОТ!$E9</f>
        <v>Финансовые услуги</v>
      </c>
      <c r="H9" t="str">
        <f>ПОТ!$F9</f>
        <v>Отдел кредитования и страхования</v>
      </c>
      <c r="I9" t="str">
        <f>ПОТ!$G9</f>
        <v>Менеджер по кредитованию и страхованию</v>
      </c>
      <c r="J9" t="str">
        <f>ПОТ!$H9</f>
        <v>ЛюбаяМарка</v>
      </c>
      <c r="K9" t="str">
        <f>IF(ISBLANK(ПОТ!$I9),"",IFERROR(_xlfn.XLOOKUP(ПОТ!$I9,Справ_ВидыПремий!$B:$B,Справ_ВидыПремий!$A:$A),""))</f>
        <v>BT-004</v>
      </c>
      <c r="L9" t="str">
        <f>IF(ISBLANK(ПОТ!$I9),"",ПОТ!$I9)</f>
        <v>Поквартальная премия от продажи финансовых услуг</v>
      </c>
      <c r="M9" t="str">
        <f>ПОТ!$R9</f>
        <v>BT-004_Премия_КВФин</v>
      </c>
      <c r="N9" t="str">
        <f>ПОТ!$J9</f>
        <v>% выполнения плана</v>
      </c>
      <c r="O9" t="str">
        <f>ПОТ!$K9</f>
        <v>%</v>
      </c>
      <c r="P9">
        <f>IF(ISBLANK(ПОТ!$L9),"",ПОТ!$L9)</f>
        <v>30</v>
      </c>
      <c r="Q9" t="str">
        <f>ПОТ!$M9</f>
        <v>Плановое значение премии за КВ от продажи финансовых услуг</v>
      </c>
      <c r="R9" t="str">
        <f>ПОТ!$N9</f>
        <v>руб.</v>
      </c>
      <c r="S9" s="14">
        <f>IF(ISBLANK(ПОТ!$O9),"",ПОТ!$O9)</f>
        <v>1000000</v>
      </c>
      <c r="T9" t="str">
        <f ca="1">IF(ПОТ!$R9="","",IFERROR(_xlfn.XLOOKUP(ПОТ!$L9,INDIRECT("'"&amp;ПОТ!$R9&amp;"'!$C:$C"),INDIRECT("'"&amp;ПОТ!$R9&amp;"'!$A:$A"),"",-1),""))</f>
        <v>SCALE-012</v>
      </c>
      <c r="U9">
        <f ca="1">IF(ПОТ!$R9="","",IFERROR(_xlfn.XLOOKUP(ПОТ!$L9,INDIRECT("'"&amp;ПОТ!$R9&amp;"'!$C:$C"),INDIRECT("'"&amp;ПОТ!$R9&amp;"'!$C:$C"),"",-1),""))</f>
        <v>0</v>
      </c>
      <c r="V9">
        <f ca="1">IF(ПОТ!$R9="","",IFERROR(_xlfn.XLOOKUP(ПОТ!$L9,INDIRECT("'"&amp;ПОТ!$R9&amp;"'!$C:$C"),INDIRECT("'"&amp;ПОТ!$R9&amp;"'!$D:$D"),"",-1),""))</f>
        <v>80</v>
      </c>
      <c r="W9">
        <f ca="1">IF(ПОТ!$R9="","",IF(IFERROR(_xlfn.XLOOKUP(ПОТ!$L9,INDIRECT("'"&amp;ПОТ!$R9&amp;"'!$C:$C"),INDIRECT("'"&amp;ПОТ!$R9&amp;"'!$G:$G"),"",-1),"")="% выполнения",ПОТ!$L9/100,IFERROR(_xlfn.XLOOKUP(ПОТ!$L9,INDIRECT("'"&amp;ПОТ!$R9&amp;"'!$C:$C"),INDIRECT("'"&amp;ПОТ!$R9&amp;"'!$E:$E"),"",-1),"")))</f>
        <v>0.5</v>
      </c>
      <c r="X9" s="14">
        <f ca="1">IF(ПОТ!$R9="","",IFERROR(_xlfn.XLOOKUP(ПОТ!$L9,INDIRECT("'"&amp;ПОТ!$R9&amp;"'!$C:$C"),INDIRECT("'"&amp;ПОТ!$R9&amp;"'!$F:$F"),"",-1),""))</f>
        <v>0</v>
      </c>
      <c r="Y9" s="14">
        <f ca="1">ПОТ!$Q9</f>
        <v>500000</v>
      </c>
      <c r="Z9" t="str">
        <f ca="1">IF(ПОТ!$R9="","",IFERROR(_xlfn.XLOOKUP(ПОТ!$L9,INDIRECT("'"&amp;ПОТ!$R9&amp;"'!$C:$C"),INDIRECT("'"&amp;ПОТ!$R9&amp;"'!$G:$G"),"",-1),""))</f>
        <v>Число</v>
      </c>
    </row>
    <row r="10" spans="1:26" x14ac:dyDescent="0.3">
      <c r="A10">
        <f>IF(ISBLANK(ПОТ!$B10),"",ROW(ПОТ!$B10))</f>
        <v>10</v>
      </c>
      <c r="B10" s="13">
        <f>IF(ISBLANK(ПОТ!$A10),"",ПОТ!$A10)</f>
        <v>46357</v>
      </c>
      <c r="C10" t="str">
        <f>ПОТ!$P10</f>
        <v>ЕЖЕМЕСЯЧНО</v>
      </c>
      <c r="D10">
        <f>ПОТ!$C10</f>
        <v>10001</v>
      </c>
      <c r="E10" t="str">
        <f>IF(ISBLANK(ПОТ!$B10),"",ПОТ!$B10)</f>
        <v>Иванов Алексей Петрович</v>
      </c>
      <c r="F10" t="str">
        <f>ПОТ!$D10</f>
        <v>ДЦ Север</v>
      </c>
      <c r="G10" t="str">
        <f>ПОТ!$E10</f>
        <v>Продажи новых АМ</v>
      </c>
      <c r="H10" t="str">
        <f>ПОТ!$F10</f>
        <v>Отдел продаж новых АМ</v>
      </c>
      <c r="I10" t="str">
        <f>ПОТ!$G10</f>
        <v>Менеджер по продажам новых АМ</v>
      </c>
      <c r="J10" t="str">
        <f>ПОТ!$H10</f>
        <v>Haval</v>
      </c>
      <c r="K10" t="str">
        <f>IF(ISBLANK(ПОТ!$I10),"",IFERROR(_xlfn.XLOOKUP(ПОТ!$I10,Справ_ВидыПремий!$B:$B,Справ_ВидыПремий!$A:$A),""))</f>
        <v>BT-001</v>
      </c>
      <c r="L10" t="str">
        <f>IF(ISBLANK(ПОТ!$I10),"",ПОТ!$I10)</f>
        <v>Премия за количество новых АМ</v>
      </c>
      <c r="M10" t="str">
        <f>ПОТ!$R10</f>
        <v>BT-001_Премия_КолвоАМ</v>
      </c>
      <c r="N10" t="str">
        <f>ПОТ!$J10</f>
        <v>Кол-во проданных автомобилей</v>
      </c>
      <c r="O10" t="str">
        <f>ПОТ!$K10</f>
        <v>ед.</v>
      </c>
      <c r="P10">
        <f>IF(ISBLANK(ПОТ!$L10),"",ПОТ!$L10)</f>
        <v>45</v>
      </c>
      <c r="Q10" t="str">
        <f>ПОТ!$M10</f>
        <v/>
      </c>
      <c r="R10" t="str">
        <f>ПОТ!$N10</f>
        <v/>
      </c>
      <c r="S10" s="14" t="str">
        <f>IF(ISBLANK(ПОТ!$O10),"",ПОТ!$O10)</f>
        <v/>
      </c>
      <c r="T10" t="str">
        <f ca="1">IF(ПОТ!$R10="","",IFERROR(_xlfn.XLOOKUP(ПОТ!$L10,INDIRECT("'"&amp;ПОТ!$R10&amp;"'!$C:$C"),INDIRECT("'"&amp;ПОТ!$R10&amp;"'!$A:$A"),"",-1),""))</f>
        <v>SCALE-004</v>
      </c>
      <c r="U10">
        <f ca="1">IF(ПОТ!$R10="","",IFERROR(_xlfn.XLOOKUP(ПОТ!$L10,INDIRECT("'"&amp;ПОТ!$R10&amp;"'!$C:$C"),INDIRECT("'"&amp;ПОТ!$R10&amp;"'!$C:$C"),"",-1),""))</f>
        <v>15</v>
      </c>
      <c r="V10">
        <f ca="1">IF(ПОТ!$R10="","",IFERROR(_xlfn.XLOOKUP(ПОТ!$L10,INDIRECT("'"&amp;ПОТ!$R10&amp;"'!$C:$C"),INDIRECT("'"&amp;ПОТ!$R10&amp;"'!$D:$D"),"",-1),""))</f>
        <v>999999</v>
      </c>
      <c r="W10">
        <f ca="1">IF(ПОТ!$R10="","",IF(IFERROR(_xlfn.XLOOKUP(ПОТ!$L10,INDIRECT("'"&amp;ПОТ!$R10&amp;"'!$C:$C"),INDIRECT("'"&amp;ПОТ!$R10&amp;"'!$G:$G"),"",-1),"")="% выполнения",ПОТ!$L10/100,IFERROR(_xlfn.XLOOKUP(ПОТ!$L10,INDIRECT("'"&amp;ПОТ!$R10&amp;"'!$C:$C"),INDIRECT("'"&amp;ПОТ!$R10&amp;"'!$E:$E"),"",-1),"")))</f>
        <v>17000</v>
      </c>
      <c r="X10" s="14">
        <f ca="1">IF(ПОТ!$R10="","",IFERROR(_xlfn.XLOOKUP(ПОТ!$L10,INDIRECT("'"&amp;ПОТ!$R10&amp;"'!$C:$C"),INDIRECT("'"&amp;ПОТ!$R10&amp;"'!$F:$F"),"",-1),""))</f>
        <v>0</v>
      </c>
      <c r="Y10" s="14">
        <f ca="1">ПОТ!$Q10</f>
        <v>765000</v>
      </c>
      <c r="Z10" t="str">
        <f ca="1">IF(ПОТ!$R10="","",IFERROR(_xlfn.XLOOKUP(ПОТ!$L10,INDIRECT("'"&amp;ПОТ!$R10&amp;"'!$C:$C"),INDIRECT("'"&amp;ПОТ!$R10&amp;"'!$G:$G"),"",-1),""))</f>
        <v>Число</v>
      </c>
    </row>
    <row r="11" spans="1:26" x14ac:dyDescent="0.3">
      <c r="A11" t="str">
        <f>IF(ISBLANK(ПОТ!$B11),"",ROW(ПОТ!$B11))</f>
        <v/>
      </c>
      <c r="B11" s="13" t="str">
        <f>IF(ISBLANK(ПОТ!$A11),"",ПОТ!$A11)</f>
        <v/>
      </c>
      <c r="C11" t="str">
        <f>ПОТ!$P11</f>
        <v/>
      </c>
      <c r="D11" t="str">
        <f>ПОТ!$C11</f>
        <v/>
      </c>
      <c r="E11" t="str">
        <f>IF(ISBLANK(ПОТ!$B11),"",ПОТ!$B11)</f>
        <v/>
      </c>
      <c r="F11" t="str">
        <f>ПОТ!$D11</f>
        <v/>
      </c>
      <c r="G11" t="str">
        <f>ПОТ!$E11</f>
        <v/>
      </c>
      <c r="H11" t="str">
        <f>ПОТ!$F11</f>
        <v/>
      </c>
      <c r="I11" t="str">
        <f>ПОТ!$G11</f>
        <v/>
      </c>
      <c r="J11" t="str">
        <f>ПОТ!$H11</f>
        <v/>
      </c>
      <c r="K11" t="str">
        <f>IF(ISBLANK(ПОТ!$I11),"",IFERROR(_xlfn.XLOOKUP(ПОТ!$I11,Справ_ВидыПремий!$B:$B,Справ_ВидыПремий!$A:$A),""))</f>
        <v/>
      </c>
      <c r="L11" t="str">
        <f>IF(ISBLANK(ПОТ!$I11),"",ПОТ!$I11)</f>
        <v/>
      </c>
      <c r="M11" t="str">
        <f>ПОТ!$R11</f>
        <v/>
      </c>
      <c r="N11" t="str">
        <f>ПОТ!$J11</f>
        <v/>
      </c>
      <c r="O11" t="str">
        <f>ПОТ!$K11</f>
        <v/>
      </c>
      <c r="P11" t="str">
        <f>IF(ISBLANK(ПОТ!$L11),"",ПОТ!$L11)</f>
        <v/>
      </c>
      <c r="Q11" t="str">
        <f>ПОТ!$M11</f>
        <v/>
      </c>
      <c r="R11" t="str">
        <f>ПОТ!$N11</f>
        <v/>
      </c>
      <c r="S11" s="14" t="str">
        <f>IF(ISBLANK(ПОТ!$O11),"",ПОТ!$O11)</f>
        <v/>
      </c>
      <c r="T11" t="str">
        <f ca="1">IF(ПОТ!$R11="","",IFERROR(_xlfn.XLOOKUP(ПОТ!$L11,INDIRECT("'"&amp;ПОТ!$R11&amp;"'!$C:$C"),INDIRECT("'"&amp;ПОТ!$R11&amp;"'!$A:$A"),"",-1),""))</f>
        <v/>
      </c>
      <c r="U11" t="str">
        <f ca="1">IF(ПОТ!$R11="","",IFERROR(_xlfn.XLOOKUP(ПОТ!$L11,INDIRECT("'"&amp;ПОТ!$R11&amp;"'!$C:$C"),INDIRECT("'"&amp;ПОТ!$R11&amp;"'!$C:$C"),"",-1),""))</f>
        <v/>
      </c>
      <c r="V11" t="str">
        <f ca="1">IF(ПОТ!$R11="","",IFERROR(_xlfn.XLOOKUP(ПОТ!$L11,INDIRECT("'"&amp;ПОТ!$R11&amp;"'!$C:$C"),INDIRECT("'"&amp;ПОТ!$R11&amp;"'!$D:$D"),"",-1),""))</f>
        <v/>
      </c>
      <c r="W11" t="str">
        <f ca="1">IF(ПОТ!$R11="","",IF(IFERROR(_xlfn.XLOOKUP(ПОТ!$L11,INDIRECT("'"&amp;ПОТ!$R11&amp;"'!$C:$C"),INDIRECT("'"&amp;ПОТ!$R11&amp;"'!$G:$G"),"",-1),"")="% выполнения",ПОТ!$L11/100,IFERROR(_xlfn.XLOOKUP(ПОТ!$L11,INDIRECT("'"&amp;ПОТ!$R11&amp;"'!$C:$C"),INDIRECT("'"&amp;ПОТ!$R11&amp;"'!$E:$E"),"",-1),"")))</f>
        <v/>
      </c>
      <c r="X11" s="14" t="str">
        <f ca="1">IF(ПОТ!$R11="","",IFERROR(_xlfn.XLOOKUP(ПОТ!$L11,INDIRECT("'"&amp;ПОТ!$R11&amp;"'!$C:$C"),INDIRECT("'"&amp;ПОТ!$R11&amp;"'!$F:$F"),"",-1),""))</f>
        <v/>
      </c>
      <c r="Y11" s="14" t="str">
        <f ca="1">ПОТ!$Q11</f>
        <v/>
      </c>
      <c r="Z11" t="str">
        <f ca="1">IF(ПОТ!$R11="","",IFERROR(_xlfn.XLOOKUP(ПОТ!$L11,INDIRECT("'"&amp;ПОТ!$R11&amp;"'!$C:$C"),INDIRECT("'"&amp;ПОТ!$R11&amp;"'!$G:$G"),"",-1),""))</f>
        <v/>
      </c>
    </row>
    <row r="12" spans="1:26" x14ac:dyDescent="0.3">
      <c r="A12" t="str">
        <f>IF(ISBLANK(ПОТ!$B12),"",ROW(ПОТ!$B12))</f>
        <v/>
      </c>
      <c r="B12" s="13" t="str">
        <f>IF(ISBLANK(ПОТ!$A12),"",ПОТ!$A12)</f>
        <v/>
      </c>
      <c r="C12" t="str">
        <f>ПОТ!$P12</f>
        <v/>
      </c>
      <c r="D12" t="str">
        <f>ПОТ!$C12</f>
        <v/>
      </c>
      <c r="E12" t="str">
        <f>IF(ISBLANK(ПОТ!$B12),"",ПОТ!$B12)</f>
        <v/>
      </c>
      <c r="F12" t="str">
        <f>ПОТ!$D12</f>
        <v/>
      </c>
      <c r="G12" t="str">
        <f>ПОТ!$E12</f>
        <v/>
      </c>
      <c r="H12" t="str">
        <f>ПОТ!$F12</f>
        <v/>
      </c>
      <c r="I12" t="str">
        <f>ПОТ!$G12</f>
        <v/>
      </c>
      <c r="J12" t="str">
        <f>ПОТ!$H12</f>
        <v/>
      </c>
      <c r="K12" t="str">
        <f>IF(ISBLANK(ПОТ!$I12),"",IFERROR(_xlfn.XLOOKUP(ПОТ!$I12,Справ_ВидыПремий!$B:$B,Справ_ВидыПремий!$A:$A),""))</f>
        <v/>
      </c>
      <c r="L12" t="str">
        <f>IF(ISBLANK(ПОТ!$I12),"",ПОТ!$I12)</f>
        <v/>
      </c>
      <c r="M12" t="str">
        <f>ПОТ!$R12</f>
        <v/>
      </c>
      <c r="N12" t="str">
        <f>ПОТ!$J12</f>
        <v/>
      </c>
      <c r="O12" t="str">
        <f>ПОТ!$K12</f>
        <v/>
      </c>
      <c r="P12" t="str">
        <f>IF(ISBLANK(ПОТ!$L12),"",ПОТ!$L12)</f>
        <v/>
      </c>
      <c r="Q12" t="str">
        <f>ПОТ!$M12</f>
        <v/>
      </c>
      <c r="R12" t="str">
        <f>ПОТ!$N12</f>
        <v/>
      </c>
      <c r="S12" s="14" t="str">
        <f>IF(ISBLANK(ПОТ!$O12),"",ПОТ!$O12)</f>
        <v/>
      </c>
      <c r="T12" t="str">
        <f ca="1">IF(ПОТ!$R12="","",IFERROR(_xlfn.XLOOKUP(ПОТ!$L12,INDIRECT("'"&amp;ПОТ!$R12&amp;"'!$C:$C"),INDIRECT("'"&amp;ПОТ!$R12&amp;"'!$A:$A"),"",-1),""))</f>
        <v/>
      </c>
      <c r="U12" t="str">
        <f ca="1">IF(ПОТ!$R12="","",IFERROR(_xlfn.XLOOKUP(ПОТ!$L12,INDIRECT("'"&amp;ПОТ!$R12&amp;"'!$C:$C"),INDIRECT("'"&amp;ПОТ!$R12&amp;"'!$C:$C"),"",-1),""))</f>
        <v/>
      </c>
      <c r="V12" t="str">
        <f ca="1">IF(ПОТ!$R12="","",IFERROR(_xlfn.XLOOKUP(ПОТ!$L12,INDIRECT("'"&amp;ПОТ!$R12&amp;"'!$C:$C"),INDIRECT("'"&amp;ПОТ!$R12&amp;"'!$D:$D"),"",-1),""))</f>
        <v/>
      </c>
      <c r="W12" t="str">
        <f ca="1">IF(ПОТ!$R12="","",IF(IFERROR(_xlfn.XLOOKUP(ПОТ!$L12,INDIRECT("'"&amp;ПОТ!$R12&amp;"'!$C:$C"),INDIRECT("'"&amp;ПОТ!$R12&amp;"'!$G:$G"),"",-1),"")="% выполнения",ПОТ!$L12/100,IFERROR(_xlfn.XLOOKUP(ПОТ!$L12,INDIRECT("'"&amp;ПОТ!$R12&amp;"'!$C:$C"),INDIRECT("'"&amp;ПОТ!$R12&amp;"'!$E:$E"),"",-1),"")))</f>
        <v/>
      </c>
      <c r="X12" s="14" t="str">
        <f ca="1">IF(ПОТ!$R12="","",IFERROR(_xlfn.XLOOKUP(ПОТ!$L12,INDIRECT("'"&amp;ПОТ!$R12&amp;"'!$C:$C"),INDIRECT("'"&amp;ПОТ!$R12&amp;"'!$F:$F"),"",-1),""))</f>
        <v/>
      </c>
      <c r="Y12" s="14" t="str">
        <f ca="1">ПОТ!$Q12</f>
        <v/>
      </c>
      <c r="Z12" t="str">
        <f ca="1">IF(ПОТ!$R12="","",IFERROR(_xlfn.XLOOKUP(ПОТ!$L12,INDIRECT("'"&amp;ПОТ!$R12&amp;"'!$C:$C"),INDIRECT("'"&amp;ПОТ!$R12&amp;"'!$G:$G"),"",-1),""))</f>
        <v/>
      </c>
    </row>
    <row r="13" spans="1:26" x14ac:dyDescent="0.3">
      <c r="A13" t="str">
        <f>IF(ISBLANK(ПОТ!$B13),"",ROW(ПОТ!$B13))</f>
        <v/>
      </c>
      <c r="B13" s="13" t="str">
        <f>IF(ISBLANK(ПОТ!$A13),"",ПОТ!$A13)</f>
        <v/>
      </c>
      <c r="C13" t="str">
        <f>ПОТ!$P13</f>
        <v/>
      </c>
      <c r="D13" t="str">
        <f>ПОТ!$C13</f>
        <v/>
      </c>
      <c r="E13" t="str">
        <f>IF(ISBLANK(ПОТ!$B13),"",ПОТ!$B13)</f>
        <v/>
      </c>
      <c r="F13" t="str">
        <f>ПОТ!$D13</f>
        <v/>
      </c>
      <c r="G13" t="str">
        <f>ПОТ!$E13</f>
        <v/>
      </c>
      <c r="H13" t="str">
        <f>ПОТ!$F13</f>
        <v/>
      </c>
      <c r="I13" t="str">
        <f>ПОТ!$G13</f>
        <v/>
      </c>
      <c r="J13" t="str">
        <f>ПОТ!$H13</f>
        <v/>
      </c>
      <c r="K13" t="str">
        <f>IF(ISBLANK(ПОТ!$I13),"",IFERROR(_xlfn.XLOOKUP(ПОТ!$I13,Справ_ВидыПремий!$B:$B,Справ_ВидыПремий!$A:$A),""))</f>
        <v/>
      </c>
      <c r="L13" t="str">
        <f>IF(ISBLANK(ПОТ!$I13),"",ПОТ!$I13)</f>
        <v/>
      </c>
      <c r="M13" t="str">
        <f>ПОТ!$R13</f>
        <v/>
      </c>
      <c r="N13" t="str">
        <f>ПОТ!$J13</f>
        <v/>
      </c>
      <c r="O13" t="str">
        <f>ПОТ!$K13</f>
        <v/>
      </c>
      <c r="P13" t="str">
        <f>IF(ISBLANK(ПОТ!$L13),"",ПОТ!$L13)</f>
        <v/>
      </c>
      <c r="Q13" t="str">
        <f>ПОТ!$M13</f>
        <v/>
      </c>
      <c r="R13" t="str">
        <f>ПОТ!$N13</f>
        <v/>
      </c>
      <c r="S13" s="14" t="str">
        <f>IF(ISBLANK(ПОТ!$O13),"",ПОТ!$O13)</f>
        <v/>
      </c>
      <c r="T13" t="str">
        <f ca="1">IF(ПОТ!$R13="","",IFERROR(_xlfn.XLOOKUP(ПОТ!$L13,INDIRECT("'"&amp;ПОТ!$R13&amp;"'!$C:$C"),INDIRECT("'"&amp;ПОТ!$R13&amp;"'!$A:$A"),"",-1),""))</f>
        <v/>
      </c>
      <c r="U13" t="str">
        <f ca="1">IF(ПОТ!$R13="","",IFERROR(_xlfn.XLOOKUP(ПОТ!$L13,INDIRECT("'"&amp;ПОТ!$R13&amp;"'!$C:$C"),INDIRECT("'"&amp;ПОТ!$R13&amp;"'!$C:$C"),"",-1),""))</f>
        <v/>
      </c>
      <c r="V13" t="str">
        <f ca="1">IF(ПОТ!$R13="","",IFERROR(_xlfn.XLOOKUP(ПОТ!$L13,INDIRECT("'"&amp;ПОТ!$R13&amp;"'!$C:$C"),INDIRECT("'"&amp;ПОТ!$R13&amp;"'!$D:$D"),"",-1),""))</f>
        <v/>
      </c>
      <c r="W13" t="str">
        <f ca="1">IF(ПОТ!$R13="","",IF(IFERROR(_xlfn.XLOOKUP(ПОТ!$L13,INDIRECT("'"&amp;ПОТ!$R13&amp;"'!$C:$C"),INDIRECT("'"&amp;ПОТ!$R13&amp;"'!$G:$G"),"",-1),"")="% выполнения",ПОТ!$L13/100,IFERROR(_xlfn.XLOOKUP(ПОТ!$L13,INDIRECT("'"&amp;ПОТ!$R13&amp;"'!$C:$C"),INDIRECT("'"&amp;ПОТ!$R13&amp;"'!$E:$E"),"",-1),"")))</f>
        <v/>
      </c>
      <c r="X13" s="14" t="str">
        <f ca="1">IF(ПОТ!$R13="","",IFERROR(_xlfn.XLOOKUP(ПОТ!$L13,INDIRECT("'"&amp;ПОТ!$R13&amp;"'!$C:$C"),INDIRECT("'"&amp;ПОТ!$R13&amp;"'!$F:$F"),"",-1),""))</f>
        <v/>
      </c>
      <c r="Y13" s="14" t="str">
        <f ca="1">ПОТ!$Q13</f>
        <v/>
      </c>
      <c r="Z13" t="str">
        <f ca="1">IF(ПОТ!$R13="","",IFERROR(_xlfn.XLOOKUP(ПОТ!$L13,INDIRECT("'"&amp;ПОТ!$R13&amp;"'!$C:$C"),INDIRECT("'"&amp;ПОТ!$R13&amp;"'!$G:$G"),"",-1),""))</f>
        <v/>
      </c>
    </row>
    <row r="14" spans="1:26" x14ac:dyDescent="0.3">
      <c r="A14" t="str">
        <f>IF(ISBLANK(ПОТ!$B14),"",ROW(ПОТ!$B14))</f>
        <v/>
      </c>
      <c r="B14" s="13" t="str">
        <f>IF(ISBLANK(ПОТ!$A14),"",ПОТ!$A14)</f>
        <v/>
      </c>
      <c r="C14" t="str">
        <f>ПОТ!$P14</f>
        <v/>
      </c>
      <c r="D14" t="str">
        <f>ПОТ!$C14</f>
        <v/>
      </c>
      <c r="E14" t="str">
        <f>IF(ISBLANK(ПОТ!$B14),"",ПОТ!$B14)</f>
        <v/>
      </c>
      <c r="F14" t="str">
        <f>ПОТ!$D14</f>
        <v/>
      </c>
      <c r="G14" t="str">
        <f>ПОТ!$E14</f>
        <v/>
      </c>
      <c r="H14" t="str">
        <f>ПОТ!$F14</f>
        <v/>
      </c>
      <c r="I14" t="str">
        <f>ПОТ!$G14</f>
        <v/>
      </c>
      <c r="J14" t="str">
        <f>ПОТ!$H14</f>
        <v/>
      </c>
      <c r="K14" t="str">
        <f>IF(ISBLANK(ПОТ!$I14),"",IFERROR(_xlfn.XLOOKUP(ПОТ!$I14,Справ_ВидыПремий!$B:$B,Справ_ВидыПремий!$A:$A),""))</f>
        <v/>
      </c>
      <c r="L14" t="str">
        <f>IF(ISBLANK(ПОТ!$I14),"",ПОТ!$I14)</f>
        <v/>
      </c>
      <c r="M14" t="str">
        <f>ПОТ!$R14</f>
        <v/>
      </c>
      <c r="N14" t="str">
        <f>ПОТ!$J14</f>
        <v/>
      </c>
      <c r="O14" t="str">
        <f>ПОТ!$K14</f>
        <v/>
      </c>
      <c r="P14" t="str">
        <f>IF(ISBLANK(ПОТ!$L14),"",ПОТ!$L14)</f>
        <v/>
      </c>
      <c r="Q14" t="str">
        <f>ПОТ!$M14</f>
        <v/>
      </c>
      <c r="R14" t="str">
        <f>ПОТ!$N14</f>
        <v/>
      </c>
      <c r="S14" s="14" t="str">
        <f>IF(ISBLANK(ПОТ!$O14),"",ПОТ!$O14)</f>
        <v/>
      </c>
      <c r="T14" t="str">
        <f ca="1">IF(ПОТ!$R14="","",IFERROR(_xlfn.XLOOKUP(ПОТ!$L14,INDIRECT("'"&amp;ПОТ!$R14&amp;"'!$C:$C"),INDIRECT("'"&amp;ПОТ!$R14&amp;"'!$A:$A"),"",-1),""))</f>
        <v/>
      </c>
      <c r="U14" t="str">
        <f ca="1">IF(ПОТ!$R14="","",IFERROR(_xlfn.XLOOKUP(ПОТ!$L14,INDIRECT("'"&amp;ПОТ!$R14&amp;"'!$C:$C"),INDIRECT("'"&amp;ПОТ!$R14&amp;"'!$C:$C"),"",-1),""))</f>
        <v/>
      </c>
      <c r="V14" t="str">
        <f ca="1">IF(ПОТ!$R14="","",IFERROR(_xlfn.XLOOKUP(ПОТ!$L14,INDIRECT("'"&amp;ПОТ!$R14&amp;"'!$C:$C"),INDIRECT("'"&amp;ПОТ!$R14&amp;"'!$D:$D"),"",-1),""))</f>
        <v/>
      </c>
      <c r="W14" t="str">
        <f ca="1">IF(ПОТ!$R14="","",IF(IFERROR(_xlfn.XLOOKUP(ПОТ!$L14,INDIRECT("'"&amp;ПОТ!$R14&amp;"'!$C:$C"),INDIRECT("'"&amp;ПОТ!$R14&amp;"'!$G:$G"),"",-1),"")="% выполнения",ПОТ!$L14/100,IFERROR(_xlfn.XLOOKUP(ПОТ!$L14,INDIRECT("'"&amp;ПОТ!$R14&amp;"'!$C:$C"),INDIRECT("'"&amp;ПОТ!$R14&amp;"'!$E:$E"),"",-1),"")))</f>
        <v/>
      </c>
      <c r="X14" s="14" t="str">
        <f ca="1">IF(ПОТ!$R14="","",IFERROR(_xlfn.XLOOKUP(ПОТ!$L14,INDIRECT("'"&amp;ПОТ!$R14&amp;"'!$C:$C"),INDIRECT("'"&amp;ПОТ!$R14&amp;"'!$F:$F"),"",-1),""))</f>
        <v/>
      </c>
      <c r="Y14" s="14" t="str">
        <f ca="1">ПОТ!$Q14</f>
        <v/>
      </c>
      <c r="Z14" t="str">
        <f ca="1">IF(ПОТ!$R14="","",IFERROR(_xlfn.XLOOKUP(ПОТ!$L14,INDIRECT("'"&amp;ПОТ!$R14&amp;"'!$C:$C"),INDIRECT("'"&amp;ПОТ!$R14&amp;"'!$G:$G"),"",-1),""))</f>
        <v/>
      </c>
    </row>
    <row r="15" spans="1:26" x14ac:dyDescent="0.3">
      <c r="A15" t="str">
        <f>IF(ISBLANK(ПОТ!$B15),"",ROW(ПОТ!$B15))</f>
        <v/>
      </c>
      <c r="B15" s="13" t="str">
        <f>IF(ISBLANK(ПОТ!$A15),"",ПОТ!$A15)</f>
        <v/>
      </c>
      <c r="C15" t="str">
        <f>ПОТ!$P15</f>
        <v/>
      </c>
      <c r="D15" t="str">
        <f>ПОТ!$C15</f>
        <v/>
      </c>
      <c r="E15" t="str">
        <f>IF(ISBLANK(ПОТ!$B15),"",ПОТ!$B15)</f>
        <v/>
      </c>
      <c r="F15" t="str">
        <f>ПОТ!$D15</f>
        <v/>
      </c>
      <c r="G15" t="str">
        <f>ПОТ!$E15</f>
        <v/>
      </c>
      <c r="H15" t="str">
        <f>ПОТ!$F15</f>
        <v/>
      </c>
      <c r="I15" t="str">
        <f>ПОТ!$G15</f>
        <v/>
      </c>
      <c r="J15" t="str">
        <f>ПОТ!$H15</f>
        <v/>
      </c>
      <c r="K15" t="str">
        <f>IF(ISBLANK(ПОТ!$I15),"",IFERROR(_xlfn.XLOOKUP(ПОТ!$I15,Справ_ВидыПремий!$B:$B,Справ_ВидыПремий!$A:$A),""))</f>
        <v/>
      </c>
      <c r="L15" t="str">
        <f>IF(ISBLANK(ПОТ!$I15),"",ПОТ!$I15)</f>
        <v/>
      </c>
      <c r="M15" t="str">
        <f>ПОТ!$R15</f>
        <v/>
      </c>
      <c r="N15" t="str">
        <f>ПОТ!$J15</f>
        <v/>
      </c>
      <c r="O15" t="str">
        <f>ПОТ!$K15</f>
        <v/>
      </c>
      <c r="P15" t="str">
        <f>IF(ISBLANK(ПОТ!$L15),"",ПОТ!$L15)</f>
        <v/>
      </c>
      <c r="Q15" t="str">
        <f>ПОТ!$M15</f>
        <v/>
      </c>
      <c r="R15" t="str">
        <f>ПОТ!$N15</f>
        <v/>
      </c>
      <c r="S15" s="14" t="str">
        <f>IF(ISBLANK(ПОТ!$O15),"",ПОТ!$O15)</f>
        <v/>
      </c>
      <c r="T15" t="str">
        <f ca="1">IF(ПОТ!$R15="","",IFERROR(_xlfn.XLOOKUP(ПОТ!$L15,INDIRECT("'"&amp;ПОТ!$R15&amp;"'!$C:$C"),INDIRECT("'"&amp;ПОТ!$R15&amp;"'!$A:$A"),"",-1),""))</f>
        <v/>
      </c>
      <c r="U15" t="str">
        <f ca="1">IF(ПОТ!$R15="","",IFERROR(_xlfn.XLOOKUP(ПОТ!$L15,INDIRECT("'"&amp;ПОТ!$R15&amp;"'!$C:$C"),INDIRECT("'"&amp;ПОТ!$R15&amp;"'!$C:$C"),"",-1),""))</f>
        <v/>
      </c>
      <c r="V15" t="str">
        <f ca="1">IF(ПОТ!$R15="","",IFERROR(_xlfn.XLOOKUP(ПОТ!$L15,INDIRECT("'"&amp;ПОТ!$R15&amp;"'!$C:$C"),INDIRECT("'"&amp;ПОТ!$R15&amp;"'!$D:$D"),"",-1),""))</f>
        <v/>
      </c>
      <c r="W15" t="str">
        <f ca="1">IF(ПОТ!$R15="","",IF(IFERROR(_xlfn.XLOOKUP(ПОТ!$L15,INDIRECT("'"&amp;ПОТ!$R15&amp;"'!$C:$C"),INDIRECT("'"&amp;ПОТ!$R15&amp;"'!$G:$G"),"",-1),"")="% выполнения",ПОТ!$L15/100,IFERROR(_xlfn.XLOOKUP(ПОТ!$L15,INDIRECT("'"&amp;ПОТ!$R15&amp;"'!$C:$C"),INDIRECT("'"&amp;ПОТ!$R15&amp;"'!$E:$E"),"",-1),"")))</f>
        <v/>
      </c>
      <c r="X15" s="14" t="str">
        <f ca="1">IF(ПОТ!$R15="","",IFERROR(_xlfn.XLOOKUP(ПОТ!$L15,INDIRECT("'"&amp;ПОТ!$R15&amp;"'!$C:$C"),INDIRECT("'"&amp;ПОТ!$R15&amp;"'!$F:$F"),"",-1),""))</f>
        <v/>
      </c>
      <c r="Y15" s="14" t="str">
        <f ca="1">ПОТ!$Q15</f>
        <v/>
      </c>
      <c r="Z15" t="str">
        <f ca="1">IF(ПОТ!$R15="","",IFERROR(_xlfn.XLOOKUP(ПОТ!$L15,INDIRECT("'"&amp;ПОТ!$R15&amp;"'!$C:$C"),INDIRECT("'"&amp;ПОТ!$R15&amp;"'!$G:$G"),"",-1),""))</f>
        <v/>
      </c>
    </row>
    <row r="16" spans="1:26" x14ac:dyDescent="0.3">
      <c r="A16" t="str">
        <f>IF(ISBLANK(ПОТ!$B16),"",ROW(ПОТ!$B16))</f>
        <v/>
      </c>
      <c r="B16" s="13" t="str">
        <f>IF(ISBLANK(ПОТ!$A16),"",ПОТ!$A16)</f>
        <v/>
      </c>
      <c r="C16" t="str">
        <f>ПОТ!$P16</f>
        <v/>
      </c>
      <c r="D16" t="str">
        <f>ПОТ!$C16</f>
        <v/>
      </c>
      <c r="E16" t="str">
        <f>IF(ISBLANK(ПОТ!$B16),"",ПОТ!$B16)</f>
        <v/>
      </c>
      <c r="F16" t="str">
        <f>ПОТ!$D16</f>
        <v/>
      </c>
      <c r="G16" t="str">
        <f>ПОТ!$E16</f>
        <v/>
      </c>
      <c r="H16" t="str">
        <f>ПОТ!$F16</f>
        <v/>
      </c>
      <c r="I16" t="str">
        <f>ПОТ!$G16</f>
        <v/>
      </c>
      <c r="J16" t="str">
        <f>ПОТ!$H16</f>
        <v/>
      </c>
      <c r="K16" t="str">
        <f>IF(ISBLANK(ПОТ!$I16),"",IFERROR(_xlfn.XLOOKUP(ПОТ!$I16,Справ_ВидыПремий!$B:$B,Справ_ВидыПремий!$A:$A),""))</f>
        <v/>
      </c>
      <c r="L16" t="str">
        <f>IF(ISBLANK(ПОТ!$I16),"",ПОТ!$I16)</f>
        <v/>
      </c>
      <c r="M16" t="str">
        <f>ПОТ!$R16</f>
        <v/>
      </c>
      <c r="N16" t="str">
        <f>ПОТ!$J16</f>
        <v/>
      </c>
      <c r="O16" t="str">
        <f>ПОТ!$K16</f>
        <v/>
      </c>
      <c r="P16" t="str">
        <f>IF(ISBLANK(ПОТ!$L16),"",ПОТ!$L16)</f>
        <v/>
      </c>
      <c r="Q16" t="str">
        <f>ПОТ!$M16</f>
        <v/>
      </c>
      <c r="R16" t="str">
        <f>ПОТ!$N16</f>
        <v/>
      </c>
      <c r="S16" s="14" t="str">
        <f>IF(ISBLANK(ПОТ!$O16),"",ПОТ!$O16)</f>
        <v/>
      </c>
      <c r="T16" t="str">
        <f ca="1">IF(ПОТ!$R16="","",IFERROR(_xlfn.XLOOKUP(ПОТ!$L16,INDIRECT("'"&amp;ПОТ!$R16&amp;"'!$C:$C"),INDIRECT("'"&amp;ПОТ!$R16&amp;"'!$A:$A"),"",-1),""))</f>
        <v/>
      </c>
      <c r="U16" t="str">
        <f ca="1">IF(ПОТ!$R16="","",IFERROR(_xlfn.XLOOKUP(ПОТ!$L16,INDIRECT("'"&amp;ПОТ!$R16&amp;"'!$C:$C"),INDIRECT("'"&amp;ПОТ!$R16&amp;"'!$C:$C"),"",-1),""))</f>
        <v/>
      </c>
      <c r="V16" t="str">
        <f ca="1">IF(ПОТ!$R16="","",IFERROR(_xlfn.XLOOKUP(ПОТ!$L16,INDIRECT("'"&amp;ПОТ!$R16&amp;"'!$C:$C"),INDIRECT("'"&amp;ПОТ!$R16&amp;"'!$D:$D"),"",-1),""))</f>
        <v/>
      </c>
      <c r="W16" t="str">
        <f ca="1">IF(ПОТ!$R16="","",IF(IFERROR(_xlfn.XLOOKUP(ПОТ!$L16,INDIRECT("'"&amp;ПОТ!$R16&amp;"'!$C:$C"),INDIRECT("'"&amp;ПОТ!$R16&amp;"'!$G:$G"),"",-1),"")="% выполнения",ПОТ!$L16/100,IFERROR(_xlfn.XLOOKUP(ПОТ!$L16,INDIRECT("'"&amp;ПОТ!$R16&amp;"'!$C:$C"),INDIRECT("'"&amp;ПОТ!$R16&amp;"'!$E:$E"),"",-1),"")))</f>
        <v/>
      </c>
      <c r="X16" s="14" t="str">
        <f ca="1">IF(ПОТ!$R16="","",IFERROR(_xlfn.XLOOKUP(ПОТ!$L16,INDIRECT("'"&amp;ПОТ!$R16&amp;"'!$C:$C"),INDIRECT("'"&amp;ПОТ!$R16&amp;"'!$F:$F"),"",-1),""))</f>
        <v/>
      </c>
      <c r="Y16" s="14" t="str">
        <f ca="1">ПОТ!$Q16</f>
        <v/>
      </c>
      <c r="Z16" t="str">
        <f ca="1">IF(ПОТ!$R16="","",IFERROR(_xlfn.XLOOKUP(ПОТ!$L16,INDIRECT("'"&amp;ПОТ!$R16&amp;"'!$C:$C"),INDIRECT("'"&amp;ПОТ!$R16&amp;"'!$G:$G"),"",-1),""))</f>
        <v/>
      </c>
    </row>
    <row r="17" spans="1:26" x14ac:dyDescent="0.3">
      <c r="A17" t="str">
        <f>IF(ISBLANK(ПОТ!$B17),"",ROW(ПОТ!$B17))</f>
        <v/>
      </c>
      <c r="B17" s="13" t="str">
        <f>IF(ISBLANK(ПОТ!$A17),"",ПОТ!$A17)</f>
        <v/>
      </c>
      <c r="C17" t="str">
        <f>ПОТ!$P17</f>
        <v/>
      </c>
      <c r="D17" t="str">
        <f>ПОТ!$C17</f>
        <v/>
      </c>
      <c r="E17" t="str">
        <f>IF(ISBLANK(ПОТ!$B17),"",ПОТ!$B17)</f>
        <v/>
      </c>
      <c r="F17" t="str">
        <f>ПОТ!$D17</f>
        <v/>
      </c>
      <c r="G17" t="str">
        <f>ПОТ!$E17</f>
        <v/>
      </c>
      <c r="H17" t="str">
        <f>ПОТ!$F17</f>
        <v/>
      </c>
      <c r="I17" t="str">
        <f>ПОТ!$G17</f>
        <v/>
      </c>
      <c r="J17" t="str">
        <f>ПОТ!$H17</f>
        <v/>
      </c>
      <c r="K17" t="str">
        <f>IF(ISBLANK(ПОТ!$I17),"",IFERROR(_xlfn.XLOOKUP(ПОТ!$I17,Справ_ВидыПремий!$B:$B,Справ_ВидыПремий!$A:$A),""))</f>
        <v/>
      </c>
      <c r="L17" t="str">
        <f>IF(ISBLANK(ПОТ!$I17),"",ПОТ!$I17)</f>
        <v/>
      </c>
      <c r="M17" t="str">
        <f>ПОТ!$R17</f>
        <v/>
      </c>
      <c r="N17" t="str">
        <f>ПОТ!$J17</f>
        <v/>
      </c>
      <c r="O17" t="str">
        <f>ПОТ!$K17</f>
        <v/>
      </c>
      <c r="P17" t="str">
        <f>IF(ISBLANK(ПОТ!$L17),"",ПОТ!$L17)</f>
        <v/>
      </c>
      <c r="Q17" t="str">
        <f>ПОТ!$M17</f>
        <v/>
      </c>
      <c r="R17" t="str">
        <f>ПОТ!$N17</f>
        <v/>
      </c>
      <c r="S17" s="14" t="str">
        <f>IF(ISBLANK(ПОТ!$O17),"",ПОТ!$O17)</f>
        <v/>
      </c>
      <c r="T17" t="str">
        <f ca="1">IF(ПОТ!$R17="","",IFERROR(_xlfn.XLOOKUP(ПОТ!$L17,INDIRECT("'"&amp;ПОТ!$R17&amp;"'!$C:$C"),INDIRECT("'"&amp;ПОТ!$R17&amp;"'!$A:$A"),"",-1),""))</f>
        <v/>
      </c>
      <c r="U17" t="str">
        <f ca="1">IF(ПОТ!$R17="","",IFERROR(_xlfn.XLOOKUP(ПОТ!$L17,INDIRECT("'"&amp;ПОТ!$R17&amp;"'!$C:$C"),INDIRECT("'"&amp;ПОТ!$R17&amp;"'!$C:$C"),"",-1),""))</f>
        <v/>
      </c>
      <c r="V17" t="str">
        <f ca="1">IF(ПОТ!$R17="","",IFERROR(_xlfn.XLOOKUP(ПОТ!$L17,INDIRECT("'"&amp;ПОТ!$R17&amp;"'!$C:$C"),INDIRECT("'"&amp;ПОТ!$R17&amp;"'!$D:$D"),"",-1),""))</f>
        <v/>
      </c>
      <c r="W17" t="str">
        <f ca="1">IF(ПОТ!$R17="","",IF(IFERROR(_xlfn.XLOOKUP(ПОТ!$L17,INDIRECT("'"&amp;ПОТ!$R17&amp;"'!$C:$C"),INDIRECT("'"&amp;ПОТ!$R17&amp;"'!$G:$G"),"",-1),"")="% выполнения",ПОТ!$L17/100,IFERROR(_xlfn.XLOOKUP(ПОТ!$L17,INDIRECT("'"&amp;ПОТ!$R17&amp;"'!$C:$C"),INDIRECT("'"&amp;ПОТ!$R17&amp;"'!$E:$E"),"",-1),"")))</f>
        <v/>
      </c>
      <c r="X17" s="14" t="str">
        <f ca="1">IF(ПОТ!$R17="","",IFERROR(_xlfn.XLOOKUP(ПОТ!$L17,INDIRECT("'"&amp;ПОТ!$R17&amp;"'!$C:$C"),INDIRECT("'"&amp;ПОТ!$R17&amp;"'!$F:$F"),"",-1),""))</f>
        <v/>
      </c>
      <c r="Y17" s="14" t="str">
        <f ca="1">ПОТ!$Q17</f>
        <v/>
      </c>
      <c r="Z17" t="str">
        <f ca="1">IF(ПОТ!$R17="","",IFERROR(_xlfn.XLOOKUP(ПОТ!$L17,INDIRECT("'"&amp;ПОТ!$R17&amp;"'!$C:$C"),INDIRECT("'"&amp;ПОТ!$R17&amp;"'!$G:$G"),"",-1),""))</f>
        <v/>
      </c>
    </row>
    <row r="18" spans="1:26" x14ac:dyDescent="0.3">
      <c r="A18" t="str">
        <f>IF(ISBLANK(ПОТ!$B18),"",ROW(ПОТ!$B18))</f>
        <v/>
      </c>
      <c r="B18" s="13" t="str">
        <f>IF(ISBLANK(ПОТ!$A18),"",ПОТ!$A18)</f>
        <v/>
      </c>
      <c r="C18" t="str">
        <f>ПОТ!$P18</f>
        <v/>
      </c>
      <c r="D18" t="str">
        <f>ПОТ!$C18</f>
        <v/>
      </c>
      <c r="E18" t="str">
        <f>IF(ISBLANK(ПОТ!$B18),"",ПОТ!$B18)</f>
        <v/>
      </c>
      <c r="F18" t="str">
        <f>ПОТ!$D18</f>
        <v/>
      </c>
      <c r="G18" t="str">
        <f>ПОТ!$E18</f>
        <v/>
      </c>
      <c r="H18" t="str">
        <f>ПОТ!$F18</f>
        <v/>
      </c>
      <c r="I18" t="str">
        <f>ПОТ!$G18</f>
        <v/>
      </c>
      <c r="J18" t="str">
        <f>ПОТ!$H18</f>
        <v/>
      </c>
      <c r="K18" t="str">
        <f>IF(ISBLANK(ПОТ!$I18),"",IFERROR(_xlfn.XLOOKUP(ПОТ!$I18,Справ_ВидыПремий!$B:$B,Справ_ВидыПремий!$A:$A),""))</f>
        <v/>
      </c>
      <c r="L18" t="str">
        <f>IF(ISBLANK(ПОТ!$I18),"",ПОТ!$I18)</f>
        <v/>
      </c>
      <c r="M18" t="str">
        <f>ПОТ!$R18</f>
        <v/>
      </c>
      <c r="N18" t="str">
        <f>ПОТ!$J18</f>
        <v/>
      </c>
      <c r="O18" t="str">
        <f>ПОТ!$K18</f>
        <v/>
      </c>
      <c r="P18" t="str">
        <f>IF(ISBLANK(ПОТ!$L18),"",ПОТ!$L18)</f>
        <v/>
      </c>
      <c r="Q18" t="str">
        <f>ПОТ!$M18</f>
        <v/>
      </c>
      <c r="R18" t="str">
        <f>ПОТ!$N18</f>
        <v/>
      </c>
      <c r="S18" s="14" t="str">
        <f>IF(ISBLANK(ПОТ!$O18),"",ПОТ!$O18)</f>
        <v/>
      </c>
      <c r="T18" t="str">
        <f ca="1">IF(ПОТ!$R18="","",IFERROR(_xlfn.XLOOKUP(ПОТ!$L18,INDIRECT("'"&amp;ПОТ!$R18&amp;"'!$C:$C"),INDIRECT("'"&amp;ПОТ!$R18&amp;"'!$A:$A"),"",-1),""))</f>
        <v/>
      </c>
      <c r="U18" t="str">
        <f ca="1">IF(ПОТ!$R18="","",IFERROR(_xlfn.XLOOKUP(ПОТ!$L18,INDIRECT("'"&amp;ПОТ!$R18&amp;"'!$C:$C"),INDIRECT("'"&amp;ПОТ!$R18&amp;"'!$C:$C"),"",-1),""))</f>
        <v/>
      </c>
      <c r="V18" t="str">
        <f ca="1">IF(ПОТ!$R18="","",IFERROR(_xlfn.XLOOKUP(ПОТ!$L18,INDIRECT("'"&amp;ПОТ!$R18&amp;"'!$C:$C"),INDIRECT("'"&amp;ПОТ!$R18&amp;"'!$D:$D"),"",-1),""))</f>
        <v/>
      </c>
      <c r="W18" t="str">
        <f ca="1">IF(ПОТ!$R18="","",IF(IFERROR(_xlfn.XLOOKUP(ПОТ!$L18,INDIRECT("'"&amp;ПОТ!$R18&amp;"'!$C:$C"),INDIRECT("'"&amp;ПОТ!$R18&amp;"'!$G:$G"),"",-1),"")="% выполнения",ПОТ!$L18/100,IFERROR(_xlfn.XLOOKUP(ПОТ!$L18,INDIRECT("'"&amp;ПОТ!$R18&amp;"'!$C:$C"),INDIRECT("'"&amp;ПОТ!$R18&amp;"'!$E:$E"),"",-1),"")))</f>
        <v/>
      </c>
      <c r="X18" s="14" t="str">
        <f ca="1">IF(ПОТ!$R18="","",IFERROR(_xlfn.XLOOKUP(ПОТ!$L18,INDIRECT("'"&amp;ПОТ!$R18&amp;"'!$C:$C"),INDIRECT("'"&amp;ПОТ!$R18&amp;"'!$F:$F"),"",-1),""))</f>
        <v/>
      </c>
      <c r="Y18" s="14" t="str">
        <f ca="1">ПОТ!$Q18</f>
        <v/>
      </c>
      <c r="Z18" t="str">
        <f ca="1">IF(ПОТ!$R18="","",IFERROR(_xlfn.XLOOKUP(ПОТ!$L18,INDIRECT("'"&amp;ПОТ!$R18&amp;"'!$C:$C"),INDIRECT("'"&amp;ПОТ!$R18&amp;"'!$G:$G"),"",-1),""))</f>
        <v/>
      </c>
    </row>
    <row r="19" spans="1:26" x14ac:dyDescent="0.3">
      <c r="A19" t="str">
        <f>IF(ISBLANK(ПОТ!$B19),"",ROW(ПОТ!$B19))</f>
        <v/>
      </c>
      <c r="B19" s="13" t="str">
        <f>IF(ISBLANK(ПОТ!$A19),"",ПОТ!$A19)</f>
        <v/>
      </c>
      <c r="C19" t="str">
        <f>ПОТ!$P19</f>
        <v/>
      </c>
      <c r="D19" t="str">
        <f>ПОТ!$C19</f>
        <v/>
      </c>
      <c r="E19" t="str">
        <f>IF(ISBLANK(ПОТ!$B19),"",ПОТ!$B19)</f>
        <v/>
      </c>
      <c r="F19" t="str">
        <f>ПОТ!$D19</f>
        <v/>
      </c>
      <c r="G19" t="str">
        <f>ПОТ!$E19</f>
        <v/>
      </c>
      <c r="H19" t="str">
        <f>ПОТ!$F19</f>
        <v/>
      </c>
      <c r="I19" t="str">
        <f>ПОТ!$G19</f>
        <v/>
      </c>
      <c r="J19" t="str">
        <f>ПОТ!$H19</f>
        <v/>
      </c>
      <c r="K19" t="str">
        <f>IF(ISBLANK(ПОТ!$I19),"",IFERROR(_xlfn.XLOOKUP(ПОТ!$I19,Справ_ВидыПремий!$B:$B,Справ_ВидыПремий!$A:$A),""))</f>
        <v/>
      </c>
      <c r="L19" t="str">
        <f>IF(ISBLANK(ПОТ!$I19),"",ПОТ!$I19)</f>
        <v/>
      </c>
      <c r="M19" t="str">
        <f>ПОТ!$R19</f>
        <v/>
      </c>
      <c r="N19" t="str">
        <f>ПОТ!$J19</f>
        <v/>
      </c>
      <c r="O19" t="str">
        <f>ПОТ!$K19</f>
        <v/>
      </c>
      <c r="P19" t="str">
        <f>IF(ISBLANK(ПОТ!$L19),"",ПОТ!$L19)</f>
        <v/>
      </c>
      <c r="Q19" t="str">
        <f>ПОТ!$M19</f>
        <v/>
      </c>
      <c r="R19" t="str">
        <f>ПОТ!$N19</f>
        <v/>
      </c>
      <c r="S19" s="14" t="str">
        <f>IF(ISBLANK(ПОТ!$O19),"",ПОТ!$O19)</f>
        <v/>
      </c>
      <c r="T19" t="str">
        <f ca="1">IF(ПОТ!$R19="","",IFERROR(_xlfn.XLOOKUP(ПОТ!$L19,INDIRECT("'"&amp;ПОТ!$R19&amp;"'!$C:$C"),INDIRECT("'"&amp;ПОТ!$R19&amp;"'!$A:$A"),"",-1),""))</f>
        <v/>
      </c>
      <c r="U19" t="str">
        <f ca="1">IF(ПОТ!$R19="","",IFERROR(_xlfn.XLOOKUP(ПОТ!$L19,INDIRECT("'"&amp;ПОТ!$R19&amp;"'!$C:$C"),INDIRECT("'"&amp;ПОТ!$R19&amp;"'!$C:$C"),"",-1),""))</f>
        <v/>
      </c>
      <c r="V19" t="str">
        <f ca="1">IF(ПОТ!$R19="","",IFERROR(_xlfn.XLOOKUP(ПОТ!$L19,INDIRECT("'"&amp;ПОТ!$R19&amp;"'!$C:$C"),INDIRECT("'"&amp;ПОТ!$R19&amp;"'!$D:$D"),"",-1),""))</f>
        <v/>
      </c>
      <c r="W19" t="str">
        <f ca="1">IF(ПОТ!$R19="","",IF(IFERROR(_xlfn.XLOOKUP(ПОТ!$L19,INDIRECT("'"&amp;ПОТ!$R19&amp;"'!$C:$C"),INDIRECT("'"&amp;ПОТ!$R19&amp;"'!$G:$G"),"",-1),"")="% выполнения",ПОТ!$L19/100,IFERROR(_xlfn.XLOOKUP(ПОТ!$L19,INDIRECT("'"&amp;ПОТ!$R19&amp;"'!$C:$C"),INDIRECT("'"&amp;ПОТ!$R19&amp;"'!$E:$E"),"",-1),"")))</f>
        <v/>
      </c>
      <c r="X19" s="14" t="str">
        <f ca="1">IF(ПОТ!$R19="","",IFERROR(_xlfn.XLOOKUP(ПОТ!$L19,INDIRECT("'"&amp;ПОТ!$R19&amp;"'!$C:$C"),INDIRECT("'"&amp;ПОТ!$R19&amp;"'!$F:$F"),"",-1),""))</f>
        <v/>
      </c>
      <c r="Y19" s="14" t="str">
        <f ca="1">ПОТ!$Q19</f>
        <v/>
      </c>
      <c r="Z19" t="str">
        <f ca="1">IF(ПОТ!$R19="","",IFERROR(_xlfn.XLOOKUP(ПОТ!$L19,INDIRECT("'"&amp;ПОТ!$R19&amp;"'!$C:$C"),INDIRECT("'"&amp;ПОТ!$R19&amp;"'!$G:$G"),"",-1),""))</f>
        <v/>
      </c>
    </row>
    <row r="20" spans="1:26" x14ac:dyDescent="0.3">
      <c r="A20" t="str">
        <f>IF(ISBLANK(ПОТ!$B20),"",ROW(ПОТ!$B20))</f>
        <v/>
      </c>
      <c r="B20" s="13" t="str">
        <f>IF(ISBLANK(ПОТ!$A20),"",ПОТ!$A20)</f>
        <v/>
      </c>
      <c r="C20" t="str">
        <f>ПОТ!$P20</f>
        <v/>
      </c>
      <c r="D20" t="str">
        <f>ПОТ!$C20</f>
        <v/>
      </c>
      <c r="E20" t="str">
        <f>IF(ISBLANK(ПОТ!$B20),"",ПОТ!$B20)</f>
        <v/>
      </c>
      <c r="F20" t="str">
        <f>ПОТ!$D20</f>
        <v/>
      </c>
      <c r="G20" t="str">
        <f>ПОТ!$E20</f>
        <v/>
      </c>
      <c r="H20" t="str">
        <f>ПОТ!$F20</f>
        <v/>
      </c>
      <c r="I20" t="str">
        <f>ПОТ!$G20</f>
        <v/>
      </c>
      <c r="J20" t="str">
        <f>ПОТ!$H20</f>
        <v/>
      </c>
      <c r="K20" t="str">
        <f>IF(ISBLANK(ПОТ!$I20),"",IFERROR(_xlfn.XLOOKUP(ПОТ!$I20,Справ_ВидыПремий!$B:$B,Справ_ВидыПремий!$A:$A),""))</f>
        <v/>
      </c>
      <c r="L20" t="str">
        <f>IF(ISBLANK(ПОТ!$I20),"",ПОТ!$I20)</f>
        <v/>
      </c>
      <c r="M20" t="str">
        <f>ПОТ!$R20</f>
        <v/>
      </c>
      <c r="N20" t="str">
        <f>ПОТ!$J20</f>
        <v/>
      </c>
      <c r="O20" t="str">
        <f>ПОТ!$K20</f>
        <v/>
      </c>
      <c r="P20" t="str">
        <f>IF(ISBLANK(ПОТ!$L20),"",ПОТ!$L20)</f>
        <v/>
      </c>
      <c r="Q20" t="str">
        <f>ПОТ!$M20</f>
        <v/>
      </c>
      <c r="R20" t="str">
        <f>ПОТ!$N20</f>
        <v/>
      </c>
      <c r="S20" s="14" t="str">
        <f>IF(ISBLANK(ПОТ!$O20),"",ПОТ!$O20)</f>
        <v/>
      </c>
      <c r="T20" t="str">
        <f ca="1">IF(ПОТ!$R20="","",IFERROR(_xlfn.XLOOKUP(ПОТ!$L20,INDIRECT("'"&amp;ПОТ!$R20&amp;"'!$C:$C"),INDIRECT("'"&amp;ПОТ!$R20&amp;"'!$A:$A"),"",-1),""))</f>
        <v/>
      </c>
      <c r="U20" t="str">
        <f ca="1">IF(ПОТ!$R20="","",IFERROR(_xlfn.XLOOKUP(ПОТ!$L20,INDIRECT("'"&amp;ПОТ!$R20&amp;"'!$C:$C"),INDIRECT("'"&amp;ПОТ!$R20&amp;"'!$C:$C"),"",-1),""))</f>
        <v/>
      </c>
      <c r="V20" t="str">
        <f ca="1">IF(ПОТ!$R20="","",IFERROR(_xlfn.XLOOKUP(ПОТ!$L20,INDIRECT("'"&amp;ПОТ!$R20&amp;"'!$C:$C"),INDIRECT("'"&amp;ПОТ!$R20&amp;"'!$D:$D"),"",-1),""))</f>
        <v/>
      </c>
      <c r="W20" t="str">
        <f ca="1">IF(ПОТ!$R20="","",IF(IFERROR(_xlfn.XLOOKUP(ПОТ!$L20,INDIRECT("'"&amp;ПОТ!$R20&amp;"'!$C:$C"),INDIRECT("'"&amp;ПОТ!$R20&amp;"'!$G:$G"),"",-1),"")="% выполнения",ПОТ!$L20/100,IFERROR(_xlfn.XLOOKUP(ПОТ!$L20,INDIRECT("'"&amp;ПОТ!$R20&amp;"'!$C:$C"),INDIRECT("'"&amp;ПОТ!$R20&amp;"'!$E:$E"),"",-1),"")))</f>
        <v/>
      </c>
      <c r="X20" s="14" t="str">
        <f ca="1">IF(ПОТ!$R20="","",IFERROR(_xlfn.XLOOKUP(ПОТ!$L20,INDIRECT("'"&amp;ПОТ!$R20&amp;"'!$C:$C"),INDIRECT("'"&amp;ПОТ!$R20&amp;"'!$F:$F"),"",-1),""))</f>
        <v/>
      </c>
      <c r="Y20" s="14" t="str">
        <f ca="1">ПОТ!$Q20</f>
        <v/>
      </c>
      <c r="Z20" t="str">
        <f ca="1">IF(ПОТ!$R20="","",IFERROR(_xlfn.XLOOKUP(ПОТ!$L20,INDIRECT("'"&amp;ПОТ!$R20&amp;"'!$C:$C"),INDIRECT("'"&amp;ПОТ!$R20&amp;"'!$G:$G"),"",-1),""))</f>
        <v/>
      </c>
    </row>
    <row r="21" spans="1:26" x14ac:dyDescent="0.3">
      <c r="A21" t="str">
        <f>IF(ISBLANK(ПОТ!$B21),"",ROW(ПОТ!$B21))</f>
        <v/>
      </c>
      <c r="B21" s="13" t="str">
        <f>IF(ISBLANK(ПОТ!$A21),"",ПОТ!$A21)</f>
        <v/>
      </c>
      <c r="C21" t="str">
        <f>ПОТ!$P21</f>
        <v/>
      </c>
      <c r="D21" t="str">
        <f>ПОТ!$C21</f>
        <v/>
      </c>
      <c r="E21" t="str">
        <f>IF(ISBLANK(ПОТ!$B21),"",ПОТ!$B21)</f>
        <v/>
      </c>
      <c r="F21" t="str">
        <f>ПОТ!$D21</f>
        <v/>
      </c>
      <c r="G21" t="str">
        <f>ПОТ!$E21</f>
        <v/>
      </c>
      <c r="H21" t="str">
        <f>ПОТ!$F21</f>
        <v/>
      </c>
      <c r="I21" t="str">
        <f>ПОТ!$G21</f>
        <v/>
      </c>
      <c r="J21" t="str">
        <f>ПОТ!$H21</f>
        <v/>
      </c>
      <c r="K21" t="str">
        <f>IF(ISBLANK(ПОТ!$I21),"",IFERROR(_xlfn.XLOOKUP(ПОТ!$I21,Справ_ВидыПремий!$B:$B,Справ_ВидыПремий!$A:$A),""))</f>
        <v/>
      </c>
      <c r="L21" t="str">
        <f>IF(ISBLANK(ПОТ!$I21),"",ПОТ!$I21)</f>
        <v/>
      </c>
      <c r="M21" t="str">
        <f>ПОТ!$R21</f>
        <v/>
      </c>
      <c r="N21" t="str">
        <f>ПОТ!$J21</f>
        <v/>
      </c>
      <c r="O21" t="str">
        <f>ПОТ!$K21</f>
        <v/>
      </c>
      <c r="P21" t="str">
        <f>IF(ISBLANK(ПОТ!$L21),"",ПОТ!$L21)</f>
        <v/>
      </c>
      <c r="Q21" t="str">
        <f>ПОТ!$M21</f>
        <v/>
      </c>
      <c r="R21" t="str">
        <f>ПОТ!$N21</f>
        <v/>
      </c>
      <c r="S21" s="14" t="str">
        <f>IF(ISBLANK(ПОТ!$O21),"",ПОТ!$O21)</f>
        <v/>
      </c>
      <c r="T21" t="str">
        <f ca="1">IF(ПОТ!$R21="","",IFERROR(_xlfn.XLOOKUP(ПОТ!$L21,INDIRECT("'"&amp;ПОТ!$R21&amp;"'!$C:$C"),INDIRECT("'"&amp;ПОТ!$R21&amp;"'!$A:$A"),"",-1),""))</f>
        <v/>
      </c>
      <c r="U21" t="str">
        <f ca="1">IF(ПОТ!$R21="","",IFERROR(_xlfn.XLOOKUP(ПОТ!$L21,INDIRECT("'"&amp;ПОТ!$R21&amp;"'!$C:$C"),INDIRECT("'"&amp;ПОТ!$R21&amp;"'!$C:$C"),"",-1),""))</f>
        <v/>
      </c>
      <c r="V21" t="str">
        <f ca="1">IF(ПОТ!$R21="","",IFERROR(_xlfn.XLOOKUP(ПОТ!$L21,INDIRECT("'"&amp;ПОТ!$R21&amp;"'!$C:$C"),INDIRECT("'"&amp;ПОТ!$R21&amp;"'!$D:$D"),"",-1),""))</f>
        <v/>
      </c>
      <c r="W21" t="str">
        <f ca="1">IF(ПОТ!$R21="","",IF(IFERROR(_xlfn.XLOOKUP(ПОТ!$L21,INDIRECT("'"&amp;ПОТ!$R21&amp;"'!$C:$C"),INDIRECT("'"&amp;ПОТ!$R21&amp;"'!$G:$G"),"",-1),"")="% выполнения",ПОТ!$L21/100,IFERROR(_xlfn.XLOOKUP(ПОТ!$L21,INDIRECT("'"&amp;ПОТ!$R21&amp;"'!$C:$C"),INDIRECT("'"&amp;ПОТ!$R21&amp;"'!$E:$E"),"",-1),"")))</f>
        <v/>
      </c>
      <c r="X21" s="14" t="str">
        <f ca="1">IF(ПОТ!$R21="","",IFERROR(_xlfn.XLOOKUP(ПОТ!$L21,INDIRECT("'"&amp;ПОТ!$R21&amp;"'!$C:$C"),INDIRECT("'"&amp;ПОТ!$R21&amp;"'!$F:$F"),"",-1),""))</f>
        <v/>
      </c>
      <c r="Y21" s="14" t="str">
        <f ca="1">ПОТ!$Q21</f>
        <v/>
      </c>
      <c r="Z21" t="str">
        <f ca="1">IF(ПОТ!$R21="","",IFERROR(_xlfn.XLOOKUP(ПОТ!$L21,INDIRECT("'"&amp;ПОТ!$R21&amp;"'!$C:$C"),INDIRECT("'"&amp;ПОТ!$R21&amp;"'!$G:$G"),"",-1),""))</f>
        <v/>
      </c>
    </row>
    <row r="22" spans="1:26" x14ac:dyDescent="0.3">
      <c r="A22" t="str">
        <f>IF(ISBLANK(ПОТ!$B22),"",ROW(ПОТ!$B22))</f>
        <v/>
      </c>
      <c r="B22" s="13" t="str">
        <f>IF(ISBLANK(ПОТ!$A22),"",ПОТ!$A22)</f>
        <v/>
      </c>
      <c r="C22" t="str">
        <f>ПОТ!$P22</f>
        <v/>
      </c>
      <c r="D22" t="str">
        <f>ПОТ!$C22</f>
        <v/>
      </c>
      <c r="E22" t="str">
        <f>IF(ISBLANK(ПОТ!$B22),"",ПОТ!$B22)</f>
        <v/>
      </c>
      <c r="F22" t="str">
        <f>ПОТ!$D22</f>
        <v/>
      </c>
      <c r="G22" t="str">
        <f>ПОТ!$E22</f>
        <v/>
      </c>
      <c r="H22" t="str">
        <f>ПОТ!$F22</f>
        <v/>
      </c>
      <c r="I22" t="str">
        <f>ПОТ!$G22</f>
        <v/>
      </c>
      <c r="J22" t="str">
        <f>ПОТ!$H22</f>
        <v/>
      </c>
      <c r="K22" t="str">
        <f>IF(ISBLANK(ПОТ!$I22),"",IFERROR(_xlfn.XLOOKUP(ПОТ!$I22,Справ_ВидыПремий!$B:$B,Справ_ВидыПремий!$A:$A),""))</f>
        <v/>
      </c>
      <c r="L22" t="str">
        <f>IF(ISBLANK(ПОТ!$I22),"",ПОТ!$I22)</f>
        <v/>
      </c>
      <c r="M22" t="str">
        <f>ПОТ!$R22</f>
        <v/>
      </c>
      <c r="N22" t="str">
        <f>ПОТ!$J22</f>
        <v/>
      </c>
      <c r="O22" t="str">
        <f>ПОТ!$K22</f>
        <v/>
      </c>
      <c r="P22" t="str">
        <f>IF(ISBLANK(ПОТ!$L22),"",ПОТ!$L22)</f>
        <v/>
      </c>
      <c r="Q22" t="str">
        <f>ПОТ!$M22</f>
        <v/>
      </c>
      <c r="R22" t="str">
        <f>ПОТ!$N22</f>
        <v/>
      </c>
      <c r="S22" s="14" t="str">
        <f>IF(ISBLANK(ПОТ!$O22),"",ПОТ!$O22)</f>
        <v/>
      </c>
      <c r="T22" t="str">
        <f ca="1">IF(ПОТ!$R22="","",IFERROR(_xlfn.XLOOKUP(ПОТ!$L22,INDIRECT("'"&amp;ПОТ!$R22&amp;"'!$C:$C"),INDIRECT("'"&amp;ПОТ!$R22&amp;"'!$A:$A"),"",-1),""))</f>
        <v/>
      </c>
      <c r="U22" t="str">
        <f ca="1">IF(ПОТ!$R22="","",IFERROR(_xlfn.XLOOKUP(ПОТ!$L22,INDIRECT("'"&amp;ПОТ!$R22&amp;"'!$C:$C"),INDIRECT("'"&amp;ПОТ!$R22&amp;"'!$C:$C"),"",-1),""))</f>
        <v/>
      </c>
      <c r="V22" t="str">
        <f ca="1">IF(ПОТ!$R22="","",IFERROR(_xlfn.XLOOKUP(ПОТ!$L22,INDIRECT("'"&amp;ПОТ!$R22&amp;"'!$C:$C"),INDIRECT("'"&amp;ПОТ!$R22&amp;"'!$D:$D"),"",-1),""))</f>
        <v/>
      </c>
      <c r="W22" t="str">
        <f ca="1">IF(ПОТ!$R22="","",IF(IFERROR(_xlfn.XLOOKUP(ПОТ!$L22,INDIRECT("'"&amp;ПОТ!$R22&amp;"'!$C:$C"),INDIRECT("'"&amp;ПОТ!$R22&amp;"'!$G:$G"),"",-1),"")="% выполнения",ПОТ!$L22/100,IFERROR(_xlfn.XLOOKUP(ПОТ!$L22,INDIRECT("'"&amp;ПОТ!$R22&amp;"'!$C:$C"),INDIRECT("'"&amp;ПОТ!$R22&amp;"'!$E:$E"),"",-1),"")))</f>
        <v/>
      </c>
      <c r="X22" s="14" t="str">
        <f ca="1">IF(ПОТ!$R22="","",IFERROR(_xlfn.XLOOKUP(ПОТ!$L22,INDIRECT("'"&amp;ПОТ!$R22&amp;"'!$C:$C"),INDIRECT("'"&amp;ПОТ!$R22&amp;"'!$F:$F"),"",-1),""))</f>
        <v/>
      </c>
      <c r="Y22" s="14" t="str">
        <f ca="1">ПОТ!$Q22</f>
        <v/>
      </c>
      <c r="Z22" t="str">
        <f ca="1">IF(ПОТ!$R22="","",IFERROR(_xlfn.XLOOKUP(ПОТ!$L22,INDIRECT("'"&amp;ПОТ!$R22&amp;"'!$C:$C"),INDIRECT("'"&amp;ПОТ!$R22&amp;"'!$G:$G"),"",-1),""))</f>
        <v/>
      </c>
    </row>
    <row r="23" spans="1:26" x14ac:dyDescent="0.3">
      <c r="A23" t="str">
        <f>IF(ISBLANK(ПОТ!$B23),"",ROW(ПОТ!$B23))</f>
        <v/>
      </c>
      <c r="B23" s="13" t="str">
        <f>IF(ISBLANK(ПОТ!$A23),"",ПОТ!$A23)</f>
        <v/>
      </c>
      <c r="C23" t="str">
        <f>ПОТ!$P23</f>
        <v/>
      </c>
      <c r="D23" t="str">
        <f>ПОТ!$C23</f>
        <v/>
      </c>
      <c r="E23" t="str">
        <f>IF(ISBLANK(ПОТ!$B23),"",ПОТ!$B23)</f>
        <v/>
      </c>
      <c r="F23" t="str">
        <f>ПОТ!$D23</f>
        <v/>
      </c>
      <c r="G23" t="str">
        <f>ПОТ!$E23</f>
        <v/>
      </c>
      <c r="H23" t="str">
        <f>ПОТ!$F23</f>
        <v/>
      </c>
      <c r="I23" t="str">
        <f>ПОТ!$G23</f>
        <v/>
      </c>
      <c r="J23" t="str">
        <f>ПОТ!$H23</f>
        <v/>
      </c>
      <c r="K23" t="str">
        <f>IF(ISBLANK(ПОТ!$I23),"",IFERROR(_xlfn.XLOOKUP(ПОТ!$I23,Справ_ВидыПремий!$B:$B,Справ_ВидыПремий!$A:$A),""))</f>
        <v/>
      </c>
      <c r="L23" t="str">
        <f>IF(ISBLANK(ПОТ!$I23),"",ПОТ!$I23)</f>
        <v/>
      </c>
      <c r="M23" t="str">
        <f>ПОТ!$R23</f>
        <v/>
      </c>
      <c r="N23" t="str">
        <f>ПОТ!$J23</f>
        <v/>
      </c>
      <c r="O23" t="str">
        <f>ПОТ!$K23</f>
        <v/>
      </c>
      <c r="P23" t="str">
        <f>IF(ISBLANK(ПОТ!$L23),"",ПОТ!$L23)</f>
        <v/>
      </c>
      <c r="Q23" t="str">
        <f>ПОТ!$M23</f>
        <v/>
      </c>
      <c r="R23" t="str">
        <f>ПОТ!$N23</f>
        <v/>
      </c>
      <c r="S23" s="14" t="str">
        <f>IF(ISBLANK(ПОТ!$O23),"",ПОТ!$O23)</f>
        <v/>
      </c>
      <c r="T23" t="str">
        <f ca="1">IF(ПОТ!$R23="","",IFERROR(_xlfn.XLOOKUP(ПОТ!$L23,INDIRECT("'"&amp;ПОТ!$R23&amp;"'!$C:$C"),INDIRECT("'"&amp;ПОТ!$R23&amp;"'!$A:$A"),"",-1),""))</f>
        <v/>
      </c>
      <c r="U23" t="str">
        <f ca="1">IF(ПОТ!$R23="","",IFERROR(_xlfn.XLOOKUP(ПОТ!$L23,INDIRECT("'"&amp;ПОТ!$R23&amp;"'!$C:$C"),INDIRECT("'"&amp;ПОТ!$R23&amp;"'!$C:$C"),"",-1),""))</f>
        <v/>
      </c>
      <c r="V23" t="str">
        <f ca="1">IF(ПОТ!$R23="","",IFERROR(_xlfn.XLOOKUP(ПОТ!$L23,INDIRECT("'"&amp;ПОТ!$R23&amp;"'!$C:$C"),INDIRECT("'"&amp;ПОТ!$R23&amp;"'!$D:$D"),"",-1),""))</f>
        <v/>
      </c>
      <c r="W23" t="str">
        <f ca="1">IF(ПОТ!$R23="","",IF(IFERROR(_xlfn.XLOOKUP(ПОТ!$L23,INDIRECT("'"&amp;ПОТ!$R23&amp;"'!$C:$C"),INDIRECT("'"&amp;ПОТ!$R23&amp;"'!$G:$G"),"",-1),"")="% выполнения",ПОТ!$L23/100,IFERROR(_xlfn.XLOOKUP(ПОТ!$L23,INDIRECT("'"&amp;ПОТ!$R23&amp;"'!$C:$C"),INDIRECT("'"&amp;ПОТ!$R23&amp;"'!$E:$E"),"",-1),"")))</f>
        <v/>
      </c>
      <c r="X23" s="14" t="str">
        <f ca="1">IF(ПОТ!$R23="","",IFERROR(_xlfn.XLOOKUP(ПОТ!$L23,INDIRECT("'"&amp;ПОТ!$R23&amp;"'!$C:$C"),INDIRECT("'"&amp;ПОТ!$R23&amp;"'!$F:$F"),"",-1),""))</f>
        <v/>
      </c>
      <c r="Y23" s="14" t="str">
        <f ca="1">ПОТ!$Q23</f>
        <v/>
      </c>
      <c r="Z23" t="str">
        <f ca="1">IF(ПОТ!$R23="","",IFERROR(_xlfn.XLOOKUP(ПОТ!$L23,INDIRECT("'"&amp;ПОТ!$R23&amp;"'!$C:$C"),INDIRECT("'"&amp;ПОТ!$R23&amp;"'!$G:$G"),"",-1),""))</f>
        <v/>
      </c>
    </row>
    <row r="24" spans="1:26" x14ac:dyDescent="0.3">
      <c r="A24" t="str">
        <f>IF(ISBLANK(ПОТ!$B24),"",ROW(ПОТ!$B24))</f>
        <v/>
      </c>
      <c r="B24" s="13" t="str">
        <f>IF(ISBLANK(ПОТ!$A24),"",ПОТ!$A24)</f>
        <v/>
      </c>
      <c r="C24" t="str">
        <f>ПОТ!$P24</f>
        <v/>
      </c>
      <c r="D24" t="str">
        <f>ПОТ!$C24</f>
        <v/>
      </c>
      <c r="E24" t="str">
        <f>IF(ISBLANK(ПОТ!$B24),"",ПОТ!$B24)</f>
        <v/>
      </c>
      <c r="F24" t="str">
        <f>ПОТ!$D24</f>
        <v/>
      </c>
      <c r="G24" t="str">
        <f>ПОТ!$E24</f>
        <v/>
      </c>
      <c r="H24" t="str">
        <f>ПОТ!$F24</f>
        <v/>
      </c>
      <c r="I24" t="str">
        <f>ПОТ!$G24</f>
        <v/>
      </c>
      <c r="J24" t="str">
        <f>ПОТ!$H24</f>
        <v/>
      </c>
      <c r="K24" t="str">
        <f>IF(ISBLANK(ПОТ!$I24),"",IFERROR(_xlfn.XLOOKUP(ПОТ!$I24,Справ_ВидыПремий!$B:$B,Справ_ВидыПремий!$A:$A),""))</f>
        <v/>
      </c>
      <c r="L24" t="str">
        <f>IF(ISBLANK(ПОТ!$I24),"",ПОТ!$I24)</f>
        <v/>
      </c>
      <c r="M24" t="str">
        <f>ПОТ!$R24</f>
        <v/>
      </c>
      <c r="N24" t="str">
        <f>ПОТ!$J24</f>
        <v/>
      </c>
      <c r="O24" t="str">
        <f>ПОТ!$K24</f>
        <v/>
      </c>
      <c r="P24" t="str">
        <f>IF(ISBLANK(ПОТ!$L24),"",ПОТ!$L24)</f>
        <v/>
      </c>
      <c r="Q24" t="str">
        <f>ПОТ!$M24</f>
        <v/>
      </c>
      <c r="R24" t="str">
        <f>ПОТ!$N24</f>
        <v/>
      </c>
      <c r="S24" s="14" t="str">
        <f>IF(ISBLANK(ПОТ!$O24),"",ПОТ!$O24)</f>
        <v/>
      </c>
      <c r="T24" t="str">
        <f ca="1">IF(ПОТ!$R24="","",IFERROR(_xlfn.XLOOKUP(ПОТ!$L24,INDIRECT("'"&amp;ПОТ!$R24&amp;"'!$C:$C"),INDIRECT("'"&amp;ПОТ!$R24&amp;"'!$A:$A"),"",-1),""))</f>
        <v/>
      </c>
      <c r="U24" t="str">
        <f ca="1">IF(ПОТ!$R24="","",IFERROR(_xlfn.XLOOKUP(ПОТ!$L24,INDIRECT("'"&amp;ПОТ!$R24&amp;"'!$C:$C"),INDIRECT("'"&amp;ПОТ!$R24&amp;"'!$C:$C"),"",-1),""))</f>
        <v/>
      </c>
      <c r="V24" t="str">
        <f ca="1">IF(ПОТ!$R24="","",IFERROR(_xlfn.XLOOKUP(ПОТ!$L24,INDIRECT("'"&amp;ПОТ!$R24&amp;"'!$C:$C"),INDIRECT("'"&amp;ПОТ!$R24&amp;"'!$D:$D"),"",-1),""))</f>
        <v/>
      </c>
      <c r="W24" t="str">
        <f ca="1">IF(ПОТ!$R24="","",IF(IFERROR(_xlfn.XLOOKUP(ПОТ!$L24,INDIRECT("'"&amp;ПОТ!$R24&amp;"'!$C:$C"),INDIRECT("'"&amp;ПОТ!$R24&amp;"'!$G:$G"),"",-1),"")="% выполнения",ПОТ!$L24/100,IFERROR(_xlfn.XLOOKUP(ПОТ!$L24,INDIRECT("'"&amp;ПОТ!$R24&amp;"'!$C:$C"),INDIRECT("'"&amp;ПОТ!$R24&amp;"'!$E:$E"),"",-1),"")))</f>
        <v/>
      </c>
      <c r="X24" s="14" t="str">
        <f ca="1">IF(ПОТ!$R24="","",IFERROR(_xlfn.XLOOKUP(ПОТ!$L24,INDIRECT("'"&amp;ПОТ!$R24&amp;"'!$C:$C"),INDIRECT("'"&amp;ПОТ!$R24&amp;"'!$F:$F"),"",-1),""))</f>
        <v/>
      </c>
      <c r="Y24" s="14" t="str">
        <f ca="1">ПОТ!$Q24</f>
        <v/>
      </c>
      <c r="Z24" t="str">
        <f ca="1">IF(ПОТ!$R24="","",IFERROR(_xlfn.XLOOKUP(ПОТ!$L24,INDIRECT("'"&amp;ПОТ!$R24&amp;"'!$C:$C"),INDIRECT("'"&amp;ПОТ!$R24&amp;"'!$G:$G"),"",-1),""))</f>
        <v/>
      </c>
    </row>
    <row r="25" spans="1:26" x14ac:dyDescent="0.3">
      <c r="A25" t="str">
        <f>IF(ISBLANK(ПОТ!$B25),"",ROW(ПОТ!$B25))</f>
        <v/>
      </c>
      <c r="B25" s="13" t="str">
        <f>IF(ISBLANK(ПОТ!$A25),"",ПОТ!$A25)</f>
        <v/>
      </c>
      <c r="C25" t="str">
        <f>ПОТ!$P25</f>
        <v/>
      </c>
      <c r="D25" t="str">
        <f>ПОТ!$C25</f>
        <v/>
      </c>
      <c r="E25" t="str">
        <f>IF(ISBLANK(ПОТ!$B25),"",ПОТ!$B25)</f>
        <v/>
      </c>
      <c r="F25" t="str">
        <f>ПОТ!$D25</f>
        <v/>
      </c>
      <c r="G25" t="str">
        <f>ПОТ!$E25</f>
        <v/>
      </c>
      <c r="H25" t="str">
        <f>ПОТ!$F25</f>
        <v/>
      </c>
      <c r="I25" t="str">
        <f>ПОТ!$G25</f>
        <v/>
      </c>
      <c r="J25" t="str">
        <f>ПОТ!$H25</f>
        <v/>
      </c>
      <c r="K25" t="str">
        <f>IF(ISBLANK(ПОТ!$I25),"",IFERROR(_xlfn.XLOOKUP(ПОТ!$I25,Справ_ВидыПремий!$B:$B,Справ_ВидыПремий!$A:$A),""))</f>
        <v/>
      </c>
      <c r="L25" t="str">
        <f>IF(ISBLANK(ПОТ!$I25),"",ПОТ!$I25)</f>
        <v/>
      </c>
      <c r="M25" t="str">
        <f>ПОТ!$R25</f>
        <v/>
      </c>
      <c r="N25" t="str">
        <f>ПОТ!$J25</f>
        <v/>
      </c>
      <c r="O25" t="str">
        <f>ПОТ!$K25</f>
        <v/>
      </c>
      <c r="P25" t="str">
        <f>IF(ISBLANK(ПОТ!$L25),"",ПОТ!$L25)</f>
        <v/>
      </c>
      <c r="Q25" t="str">
        <f>ПОТ!$M25</f>
        <v/>
      </c>
      <c r="R25" t="str">
        <f>ПОТ!$N25</f>
        <v/>
      </c>
      <c r="S25" s="14" t="str">
        <f>IF(ISBLANK(ПОТ!$O25),"",ПОТ!$O25)</f>
        <v/>
      </c>
      <c r="T25" t="str">
        <f ca="1">IF(ПОТ!$R25="","",IFERROR(_xlfn.XLOOKUP(ПОТ!$L25,INDIRECT("'"&amp;ПОТ!$R25&amp;"'!$C:$C"),INDIRECT("'"&amp;ПОТ!$R25&amp;"'!$A:$A"),"",-1),""))</f>
        <v/>
      </c>
      <c r="U25" t="str">
        <f ca="1">IF(ПОТ!$R25="","",IFERROR(_xlfn.XLOOKUP(ПОТ!$L25,INDIRECT("'"&amp;ПОТ!$R25&amp;"'!$C:$C"),INDIRECT("'"&amp;ПОТ!$R25&amp;"'!$C:$C"),"",-1),""))</f>
        <v/>
      </c>
      <c r="V25" t="str">
        <f ca="1">IF(ПОТ!$R25="","",IFERROR(_xlfn.XLOOKUP(ПОТ!$L25,INDIRECT("'"&amp;ПОТ!$R25&amp;"'!$C:$C"),INDIRECT("'"&amp;ПОТ!$R25&amp;"'!$D:$D"),"",-1),""))</f>
        <v/>
      </c>
      <c r="W25" t="str">
        <f ca="1">IF(ПОТ!$R25="","",IF(IFERROR(_xlfn.XLOOKUP(ПОТ!$L25,INDIRECT("'"&amp;ПОТ!$R25&amp;"'!$C:$C"),INDIRECT("'"&amp;ПОТ!$R25&amp;"'!$G:$G"),"",-1),"")="% выполнения",ПОТ!$L25/100,IFERROR(_xlfn.XLOOKUP(ПОТ!$L25,INDIRECT("'"&amp;ПОТ!$R25&amp;"'!$C:$C"),INDIRECT("'"&amp;ПОТ!$R25&amp;"'!$E:$E"),"",-1),"")))</f>
        <v/>
      </c>
      <c r="X25" s="14" t="str">
        <f ca="1">IF(ПОТ!$R25="","",IFERROR(_xlfn.XLOOKUP(ПОТ!$L25,INDIRECT("'"&amp;ПОТ!$R25&amp;"'!$C:$C"),INDIRECT("'"&amp;ПОТ!$R25&amp;"'!$F:$F"),"",-1),""))</f>
        <v/>
      </c>
      <c r="Y25" s="14" t="str">
        <f ca="1">ПОТ!$Q25</f>
        <v/>
      </c>
      <c r="Z25" t="str">
        <f ca="1">IF(ПОТ!$R25="","",IFERROR(_xlfn.XLOOKUP(ПОТ!$L25,INDIRECT("'"&amp;ПОТ!$R25&amp;"'!$C:$C"),INDIRECT("'"&amp;ПОТ!$R25&amp;"'!$G:$G"),"",-1),""))</f>
        <v/>
      </c>
    </row>
    <row r="26" spans="1:26" x14ac:dyDescent="0.3">
      <c r="A26" t="str">
        <f>IF(ISBLANK(ПОТ!$B26),"",ROW(ПОТ!$B26))</f>
        <v/>
      </c>
      <c r="B26" s="13" t="str">
        <f>IF(ISBLANK(ПОТ!$A26),"",ПОТ!$A26)</f>
        <v/>
      </c>
      <c r="C26" t="str">
        <f>ПОТ!$P26</f>
        <v/>
      </c>
      <c r="D26" t="str">
        <f>ПОТ!$C26</f>
        <v/>
      </c>
      <c r="E26" t="str">
        <f>IF(ISBLANK(ПОТ!$B26),"",ПОТ!$B26)</f>
        <v/>
      </c>
      <c r="F26" t="str">
        <f>ПОТ!$D26</f>
        <v/>
      </c>
      <c r="G26" t="str">
        <f>ПОТ!$E26</f>
        <v/>
      </c>
      <c r="H26" t="str">
        <f>ПОТ!$F26</f>
        <v/>
      </c>
      <c r="I26" t="str">
        <f>ПОТ!$G26</f>
        <v/>
      </c>
      <c r="J26" t="str">
        <f>ПОТ!$H26</f>
        <v/>
      </c>
      <c r="K26" t="str">
        <f>IF(ISBLANK(ПОТ!$I26),"",IFERROR(_xlfn.XLOOKUP(ПОТ!$I26,Справ_ВидыПремий!$B:$B,Справ_ВидыПремий!$A:$A),""))</f>
        <v/>
      </c>
      <c r="L26" t="str">
        <f>IF(ISBLANK(ПОТ!$I26),"",ПОТ!$I26)</f>
        <v/>
      </c>
      <c r="M26" t="str">
        <f>ПОТ!$R26</f>
        <v/>
      </c>
      <c r="N26" t="str">
        <f>ПОТ!$J26</f>
        <v/>
      </c>
      <c r="O26" t="str">
        <f>ПОТ!$K26</f>
        <v/>
      </c>
      <c r="P26" t="str">
        <f>IF(ISBLANK(ПОТ!$L26),"",ПОТ!$L26)</f>
        <v/>
      </c>
      <c r="Q26" t="str">
        <f>ПОТ!$M26</f>
        <v/>
      </c>
      <c r="R26" t="str">
        <f>ПОТ!$N26</f>
        <v/>
      </c>
      <c r="S26" s="14" t="str">
        <f>IF(ISBLANK(ПОТ!$O26),"",ПОТ!$O26)</f>
        <v/>
      </c>
      <c r="T26" t="str">
        <f ca="1">IF(ПОТ!$R26="","",IFERROR(_xlfn.XLOOKUP(ПОТ!$L26,INDIRECT("'"&amp;ПОТ!$R26&amp;"'!$C:$C"),INDIRECT("'"&amp;ПОТ!$R26&amp;"'!$A:$A"),"",-1),""))</f>
        <v/>
      </c>
      <c r="U26" t="str">
        <f ca="1">IF(ПОТ!$R26="","",IFERROR(_xlfn.XLOOKUP(ПОТ!$L26,INDIRECT("'"&amp;ПОТ!$R26&amp;"'!$C:$C"),INDIRECT("'"&amp;ПОТ!$R26&amp;"'!$C:$C"),"",-1),""))</f>
        <v/>
      </c>
      <c r="V26" t="str">
        <f ca="1">IF(ПОТ!$R26="","",IFERROR(_xlfn.XLOOKUP(ПОТ!$L26,INDIRECT("'"&amp;ПОТ!$R26&amp;"'!$C:$C"),INDIRECT("'"&amp;ПОТ!$R26&amp;"'!$D:$D"),"",-1),""))</f>
        <v/>
      </c>
      <c r="W26" t="str">
        <f ca="1">IF(ПОТ!$R26="","",IF(IFERROR(_xlfn.XLOOKUP(ПОТ!$L26,INDIRECT("'"&amp;ПОТ!$R26&amp;"'!$C:$C"),INDIRECT("'"&amp;ПОТ!$R26&amp;"'!$G:$G"),"",-1),"")="% выполнения",ПОТ!$L26/100,IFERROR(_xlfn.XLOOKUP(ПОТ!$L26,INDIRECT("'"&amp;ПОТ!$R26&amp;"'!$C:$C"),INDIRECT("'"&amp;ПОТ!$R26&amp;"'!$E:$E"),"",-1),"")))</f>
        <v/>
      </c>
      <c r="X26" s="14" t="str">
        <f ca="1">IF(ПОТ!$R26="","",IFERROR(_xlfn.XLOOKUP(ПОТ!$L26,INDIRECT("'"&amp;ПОТ!$R26&amp;"'!$C:$C"),INDIRECT("'"&amp;ПОТ!$R26&amp;"'!$F:$F"),"",-1),""))</f>
        <v/>
      </c>
      <c r="Y26" s="14" t="str">
        <f ca="1">ПОТ!$Q26</f>
        <v/>
      </c>
      <c r="Z26" t="str">
        <f ca="1">IF(ПОТ!$R26="","",IFERROR(_xlfn.XLOOKUP(ПОТ!$L26,INDIRECT("'"&amp;ПОТ!$R26&amp;"'!$C:$C"),INDIRECT("'"&amp;ПОТ!$R26&amp;"'!$G:$G"),"",-1),""))</f>
        <v/>
      </c>
    </row>
    <row r="27" spans="1:26" x14ac:dyDescent="0.3">
      <c r="A27" t="str">
        <f>IF(ISBLANK(ПОТ!$B27),"",ROW(ПОТ!$B27))</f>
        <v/>
      </c>
      <c r="B27" s="13" t="str">
        <f>IF(ISBLANK(ПОТ!$A27),"",ПОТ!$A27)</f>
        <v/>
      </c>
      <c r="C27" t="str">
        <f>ПОТ!$P27</f>
        <v/>
      </c>
      <c r="D27" t="str">
        <f>ПОТ!$C27</f>
        <v/>
      </c>
      <c r="E27" t="str">
        <f>IF(ISBLANK(ПОТ!$B27),"",ПОТ!$B27)</f>
        <v/>
      </c>
      <c r="F27" t="str">
        <f>ПОТ!$D27</f>
        <v/>
      </c>
      <c r="G27" t="str">
        <f>ПОТ!$E27</f>
        <v/>
      </c>
      <c r="H27" t="str">
        <f>ПОТ!$F27</f>
        <v/>
      </c>
      <c r="I27" t="str">
        <f>ПОТ!$G27</f>
        <v/>
      </c>
      <c r="J27" t="str">
        <f>ПОТ!$H27</f>
        <v/>
      </c>
      <c r="K27" t="str">
        <f>IF(ISBLANK(ПОТ!$I27),"",IFERROR(_xlfn.XLOOKUP(ПОТ!$I27,Справ_ВидыПремий!$B:$B,Справ_ВидыПремий!$A:$A),""))</f>
        <v/>
      </c>
      <c r="L27" t="str">
        <f>IF(ISBLANK(ПОТ!$I27),"",ПОТ!$I27)</f>
        <v/>
      </c>
      <c r="M27" t="str">
        <f>ПОТ!$R27</f>
        <v/>
      </c>
      <c r="N27" t="str">
        <f>ПОТ!$J27</f>
        <v/>
      </c>
      <c r="O27" t="str">
        <f>ПОТ!$K27</f>
        <v/>
      </c>
      <c r="P27" t="str">
        <f>IF(ISBLANK(ПОТ!$L27),"",ПОТ!$L27)</f>
        <v/>
      </c>
      <c r="Q27" t="str">
        <f>ПОТ!$M27</f>
        <v/>
      </c>
      <c r="R27" t="str">
        <f>ПОТ!$N27</f>
        <v/>
      </c>
      <c r="S27" s="14" t="str">
        <f>IF(ISBLANK(ПОТ!$O27),"",ПОТ!$O27)</f>
        <v/>
      </c>
      <c r="T27" t="str">
        <f ca="1">IF(ПОТ!$R27="","",IFERROR(_xlfn.XLOOKUP(ПОТ!$L27,INDIRECT("'"&amp;ПОТ!$R27&amp;"'!$C:$C"),INDIRECT("'"&amp;ПОТ!$R27&amp;"'!$A:$A"),"",-1),""))</f>
        <v/>
      </c>
      <c r="U27" t="str">
        <f ca="1">IF(ПОТ!$R27="","",IFERROR(_xlfn.XLOOKUP(ПОТ!$L27,INDIRECT("'"&amp;ПОТ!$R27&amp;"'!$C:$C"),INDIRECT("'"&amp;ПОТ!$R27&amp;"'!$C:$C"),"",-1),""))</f>
        <v/>
      </c>
      <c r="V27" t="str">
        <f ca="1">IF(ПОТ!$R27="","",IFERROR(_xlfn.XLOOKUP(ПОТ!$L27,INDIRECT("'"&amp;ПОТ!$R27&amp;"'!$C:$C"),INDIRECT("'"&amp;ПОТ!$R27&amp;"'!$D:$D"),"",-1),""))</f>
        <v/>
      </c>
      <c r="W27" t="str">
        <f ca="1">IF(ПОТ!$R27="","",IF(IFERROR(_xlfn.XLOOKUP(ПОТ!$L27,INDIRECT("'"&amp;ПОТ!$R27&amp;"'!$C:$C"),INDIRECT("'"&amp;ПОТ!$R27&amp;"'!$G:$G"),"",-1),"")="% выполнения",ПОТ!$L27/100,IFERROR(_xlfn.XLOOKUP(ПОТ!$L27,INDIRECT("'"&amp;ПОТ!$R27&amp;"'!$C:$C"),INDIRECT("'"&amp;ПОТ!$R27&amp;"'!$E:$E"),"",-1),"")))</f>
        <v/>
      </c>
      <c r="X27" s="14" t="str">
        <f ca="1">IF(ПОТ!$R27="","",IFERROR(_xlfn.XLOOKUP(ПОТ!$L27,INDIRECT("'"&amp;ПОТ!$R27&amp;"'!$C:$C"),INDIRECT("'"&amp;ПОТ!$R27&amp;"'!$F:$F"),"",-1),""))</f>
        <v/>
      </c>
      <c r="Y27" s="14" t="str">
        <f ca="1">ПОТ!$Q27</f>
        <v/>
      </c>
      <c r="Z27" t="str">
        <f ca="1">IF(ПОТ!$R27="","",IFERROR(_xlfn.XLOOKUP(ПОТ!$L27,INDIRECT("'"&amp;ПОТ!$R27&amp;"'!$C:$C"),INDIRECT("'"&amp;ПОТ!$R27&amp;"'!$G:$G"),"",-1),""))</f>
        <v/>
      </c>
    </row>
    <row r="28" spans="1:26" x14ac:dyDescent="0.3">
      <c r="A28" t="str">
        <f>IF(ISBLANK(ПОТ!$B28),"",ROW(ПОТ!$B28))</f>
        <v/>
      </c>
      <c r="B28" s="13" t="str">
        <f>IF(ISBLANK(ПОТ!$A28),"",ПОТ!$A28)</f>
        <v/>
      </c>
      <c r="C28" t="str">
        <f>ПОТ!$P28</f>
        <v/>
      </c>
      <c r="D28" t="str">
        <f>ПОТ!$C28</f>
        <v/>
      </c>
      <c r="E28" t="str">
        <f>IF(ISBLANK(ПОТ!$B28),"",ПОТ!$B28)</f>
        <v/>
      </c>
      <c r="F28" t="str">
        <f>ПОТ!$D28</f>
        <v/>
      </c>
      <c r="G28" t="str">
        <f>ПОТ!$E28</f>
        <v/>
      </c>
      <c r="H28" t="str">
        <f>ПОТ!$F28</f>
        <v/>
      </c>
      <c r="I28" t="str">
        <f>ПОТ!$G28</f>
        <v/>
      </c>
      <c r="J28" t="str">
        <f>ПОТ!$H28</f>
        <v/>
      </c>
      <c r="K28" t="str">
        <f>IF(ISBLANK(ПОТ!$I28),"",IFERROR(_xlfn.XLOOKUP(ПОТ!$I28,Справ_ВидыПремий!$B:$B,Справ_ВидыПремий!$A:$A),""))</f>
        <v/>
      </c>
      <c r="L28" t="str">
        <f>IF(ISBLANK(ПОТ!$I28),"",ПОТ!$I28)</f>
        <v/>
      </c>
      <c r="M28" t="str">
        <f>ПОТ!$R28</f>
        <v/>
      </c>
      <c r="N28" t="str">
        <f>ПОТ!$J28</f>
        <v/>
      </c>
      <c r="O28" t="str">
        <f>ПОТ!$K28</f>
        <v/>
      </c>
      <c r="P28" t="str">
        <f>IF(ISBLANK(ПОТ!$L28),"",ПОТ!$L28)</f>
        <v/>
      </c>
      <c r="Q28" t="str">
        <f>ПОТ!$M28</f>
        <v/>
      </c>
      <c r="R28" t="str">
        <f>ПОТ!$N28</f>
        <v/>
      </c>
      <c r="S28" s="14" t="str">
        <f>IF(ISBLANK(ПОТ!$O28),"",ПОТ!$O28)</f>
        <v/>
      </c>
      <c r="T28" t="str">
        <f ca="1">IF(ПОТ!$R28="","",IFERROR(_xlfn.XLOOKUP(ПОТ!$L28,INDIRECT("'"&amp;ПОТ!$R28&amp;"'!$C:$C"),INDIRECT("'"&amp;ПОТ!$R28&amp;"'!$A:$A"),"",-1),""))</f>
        <v/>
      </c>
      <c r="U28" t="str">
        <f ca="1">IF(ПОТ!$R28="","",IFERROR(_xlfn.XLOOKUP(ПОТ!$L28,INDIRECT("'"&amp;ПОТ!$R28&amp;"'!$C:$C"),INDIRECT("'"&amp;ПОТ!$R28&amp;"'!$C:$C"),"",-1),""))</f>
        <v/>
      </c>
      <c r="V28" t="str">
        <f ca="1">IF(ПОТ!$R28="","",IFERROR(_xlfn.XLOOKUP(ПОТ!$L28,INDIRECT("'"&amp;ПОТ!$R28&amp;"'!$C:$C"),INDIRECT("'"&amp;ПОТ!$R28&amp;"'!$D:$D"),"",-1),""))</f>
        <v/>
      </c>
      <c r="W28" t="str">
        <f ca="1">IF(ПОТ!$R28="","",IF(IFERROR(_xlfn.XLOOKUP(ПОТ!$L28,INDIRECT("'"&amp;ПОТ!$R28&amp;"'!$C:$C"),INDIRECT("'"&amp;ПОТ!$R28&amp;"'!$G:$G"),"",-1),"")="% выполнения",ПОТ!$L28/100,IFERROR(_xlfn.XLOOKUP(ПОТ!$L28,INDIRECT("'"&amp;ПОТ!$R28&amp;"'!$C:$C"),INDIRECT("'"&amp;ПОТ!$R28&amp;"'!$E:$E"),"",-1),"")))</f>
        <v/>
      </c>
      <c r="X28" s="14" t="str">
        <f ca="1">IF(ПОТ!$R28="","",IFERROR(_xlfn.XLOOKUP(ПОТ!$L28,INDIRECT("'"&amp;ПОТ!$R28&amp;"'!$C:$C"),INDIRECT("'"&amp;ПОТ!$R28&amp;"'!$F:$F"),"",-1),""))</f>
        <v/>
      </c>
      <c r="Y28" s="14" t="str">
        <f ca="1">ПОТ!$Q28</f>
        <v/>
      </c>
      <c r="Z28" t="str">
        <f ca="1">IF(ПОТ!$R28="","",IFERROR(_xlfn.XLOOKUP(ПОТ!$L28,INDIRECT("'"&amp;ПОТ!$R28&amp;"'!$C:$C"),INDIRECT("'"&amp;ПОТ!$R28&amp;"'!$G:$G"),"",-1),""))</f>
        <v/>
      </c>
    </row>
    <row r="29" spans="1:26" x14ac:dyDescent="0.3">
      <c r="A29" t="str">
        <f>IF(ISBLANK(ПОТ!$B29),"",ROW(ПОТ!$B29))</f>
        <v/>
      </c>
      <c r="B29" s="13" t="str">
        <f>IF(ISBLANK(ПОТ!$A29),"",ПОТ!$A29)</f>
        <v/>
      </c>
      <c r="C29" t="str">
        <f>ПОТ!$P29</f>
        <v/>
      </c>
      <c r="D29" t="str">
        <f>ПОТ!$C29</f>
        <v/>
      </c>
      <c r="E29" t="str">
        <f>IF(ISBLANK(ПОТ!$B29),"",ПОТ!$B29)</f>
        <v/>
      </c>
      <c r="F29" t="str">
        <f>ПОТ!$D29</f>
        <v/>
      </c>
      <c r="G29" t="str">
        <f>ПОТ!$E29</f>
        <v/>
      </c>
      <c r="H29" t="str">
        <f>ПОТ!$F29</f>
        <v/>
      </c>
      <c r="I29" t="str">
        <f>ПОТ!$G29</f>
        <v/>
      </c>
      <c r="J29" t="str">
        <f>ПОТ!$H29</f>
        <v/>
      </c>
      <c r="K29" t="str">
        <f>IF(ISBLANK(ПОТ!$I29),"",IFERROR(_xlfn.XLOOKUP(ПОТ!$I29,Справ_ВидыПремий!$B:$B,Справ_ВидыПремий!$A:$A),""))</f>
        <v/>
      </c>
      <c r="L29" t="str">
        <f>IF(ISBLANK(ПОТ!$I29),"",ПОТ!$I29)</f>
        <v/>
      </c>
      <c r="M29" t="str">
        <f>ПОТ!$R29</f>
        <v/>
      </c>
      <c r="N29" t="str">
        <f>ПОТ!$J29</f>
        <v/>
      </c>
      <c r="O29" t="str">
        <f>ПОТ!$K29</f>
        <v/>
      </c>
      <c r="P29" t="str">
        <f>IF(ISBLANK(ПОТ!$L29),"",ПОТ!$L29)</f>
        <v/>
      </c>
      <c r="Q29" t="str">
        <f>ПОТ!$M29</f>
        <v/>
      </c>
      <c r="R29" t="str">
        <f>ПОТ!$N29</f>
        <v/>
      </c>
      <c r="S29" s="14" t="str">
        <f>IF(ISBLANK(ПОТ!$O29),"",ПОТ!$O29)</f>
        <v/>
      </c>
      <c r="T29" t="str">
        <f ca="1">IF(ПОТ!$R29="","",IFERROR(_xlfn.XLOOKUP(ПОТ!$L29,INDIRECT("'"&amp;ПОТ!$R29&amp;"'!$C:$C"),INDIRECT("'"&amp;ПОТ!$R29&amp;"'!$A:$A"),"",-1),""))</f>
        <v/>
      </c>
      <c r="U29" t="str">
        <f ca="1">IF(ПОТ!$R29="","",IFERROR(_xlfn.XLOOKUP(ПОТ!$L29,INDIRECT("'"&amp;ПОТ!$R29&amp;"'!$C:$C"),INDIRECT("'"&amp;ПОТ!$R29&amp;"'!$C:$C"),"",-1),""))</f>
        <v/>
      </c>
      <c r="V29" t="str">
        <f ca="1">IF(ПОТ!$R29="","",IFERROR(_xlfn.XLOOKUP(ПОТ!$L29,INDIRECT("'"&amp;ПОТ!$R29&amp;"'!$C:$C"),INDIRECT("'"&amp;ПОТ!$R29&amp;"'!$D:$D"),"",-1),""))</f>
        <v/>
      </c>
      <c r="W29" t="str">
        <f ca="1">IF(ПОТ!$R29="","",IF(IFERROR(_xlfn.XLOOKUP(ПОТ!$L29,INDIRECT("'"&amp;ПОТ!$R29&amp;"'!$C:$C"),INDIRECT("'"&amp;ПОТ!$R29&amp;"'!$G:$G"),"",-1),"")="% выполнения",ПОТ!$L29/100,IFERROR(_xlfn.XLOOKUP(ПОТ!$L29,INDIRECT("'"&amp;ПОТ!$R29&amp;"'!$C:$C"),INDIRECT("'"&amp;ПОТ!$R29&amp;"'!$E:$E"),"",-1),"")))</f>
        <v/>
      </c>
      <c r="X29" s="14" t="str">
        <f ca="1">IF(ПОТ!$R29="","",IFERROR(_xlfn.XLOOKUP(ПОТ!$L29,INDIRECT("'"&amp;ПОТ!$R29&amp;"'!$C:$C"),INDIRECT("'"&amp;ПОТ!$R29&amp;"'!$F:$F"),"",-1),""))</f>
        <v/>
      </c>
      <c r="Y29" s="14" t="str">
        <f ca="1">ПОТ!$Q29</f>
        <v/>
      </c>
      <c r="Z29" t="str">
        <f ca="1">IF(ПОТ!$R29="","",IFERROR(_xlfn.XLOOKUP(ПОТ!$L29,INDIRECT("'"&amp;ПОТ!$R29&amp;"'!$C:$C"),INDIRECT("'"&amp;ПОТ!$R29&amp;"'!$G:$G"),"",-1),""))</f>
        <v/>
      </c>
    </row>
    <row r="30" spans="1:26" x14ac:dyDescent="0.3">
      <c r="A30" t="str">
        <f>IF(ISBLANK(ПОТ!$B30),"",ROW(ПОТ!$B30))</f>
        <v/>
      </c>
      <c r="B30" s="13" t="str">
        <f>IF(ISBLANK(ПОТ!$A30),"",ПОТ!$A30)</f>
        <v/>
      </c>
      <c r="C30" t="str">
        <f>ПОТ!$P30</f>
        <v/>
      </c>
      <c r="D30" t="str">
        <f>ПОТ!$C30</f>
        <v/>
      </c>
      <c r="E30" t="str">
        <f>IF(ISBLANK(ПОТ!$B30),"",ПОТ!$B30)</f>
        <v/>
      </c>
      <c r="F30" t="str">
        <f>ПОТ!$D30</f>
        <v/>
      </c>
      <c r="G30" t="str">
        <f>ПОТ!$E30</f>
        <v/>
      </c>
      <c r="H30" t="str">
        <f>ПОТ!$F30</f>
        <v/>
      </c>
      <c r="I30" t="str">
        <f>ПОТ!$G30</f>
        <v/>
      </c>
      <c r="J30" t="str">
        <f>ПОТ!$H30</f>
        <v/>
      </c>
      <c r="K30" t="str">
        <f>IF(ISBLANK(ПОТ!$I30),"",IFERROR(_xlfn.XLOOKUP(ПОТ!$I30,Справ_ВидыПремий!$B:$B,Справ_ВидыПремий!$A:$A),""))</f>
        <v/>
      </c>
      <c r="L30" t="str">
        <f>IF(ISBLANK(ПОТ!$I30),"",ПОТ!$I30)</f>
        <v/>
      </c>
      <c r="M30" t="str">
        <f>ПОТ!$R30</f>
        <v/>
      </c>
      <c r="N30" t="str">
        <f>ПОТ!$J30</f>
        <v/>
      </c>
      <c r="O30" t="str">
        <f>ПОТ!$K30</f>
        <v/>
      </c>
      <c r="P30" t="str">
        <f>IF(ISBLANK(ПОТ!$L30),"",ПОТ!$L30)</f>
        <v/>
      </c>
      <c r="Q30" t="str">
        <f>ПОТ!$M30</f>
        <v/>
      </c>
      <c r="R30" t="str">
        <f>ПОТ!$N30</f>
        <v/>
      </c>
      <c r="S30" s="14" t="str">
        <f>IF(ISBLANK(ПОТ!$O30),"",ПОТ!$O30)</f>
        <v/>
      </c>
      <c r="T30" t="str">
        <f ca="1">IF(ПОТ!$R30="","",IFERROR(_xlfn.XLOOKUP(ПОТ!$L30,INDIRECT("'"&amp;ПОТ!$R30&amp;"'!$C:$C"),INDIRECT("'"&amp;ПОТ!$R30&amp;"'!$A:$A"),"",-1),""))</f>
        <v/>
      </c>
      <c r="U30" t="str">
        <f ca="1">IF(ПОТ!$R30="","",IFERROR(_xlfn.XLOOKUP(ПОТ!$L30,INDIRECT("'"&amp;ПОТ!$R30&amp;"'!$C:$C"),INDIRECT("'"&amp;ПОТ!$R30&amp;"'!$C:$C"),"",-1),""))</f>
        <v/>
      </c>
      <c r="V30" t="str">
        <f ca="1">IF(ПОТ!$R30="","",IFERROR(_xlfn.XLOOKUP(ПОТ!$L30,INDIRECT("'"&amp;ПОТ!$R30&amp;"'!$C:$C"),INDIRECT("'"&amp;ПОТ!$R30&amp;"'!$D:$D"),"",-1),""))</f>
        <v/>
      </c>
      <c r="W30" t="str">
        <f ca="1">IF(ПОТ!$R30="","",IF(IFERROR(_xlfn.XLOOKUP(ПОТ!$L30,INDIRECT("'"&amp;ПОТ!$R30&amp;"'!$C:$C"),INDIRECT("'"&amp;ПОТ!$R30&amp;"'!$G:$G"),"",-1),"")="% выполнения",ПОТ!$L30/100,IFERROR(_xlfn.XLOOKUP(ПОТ!$L30,INDIRECT("'"&amp;ПОТ!$R30&amp;"'!$C:$C"),INDIRECT("'"&amp;ПОТ!$R30&amp;"'!$E:$E"),"",-1),"")))</f>
        <v/>
      </c>
      <c r="X30" s="14" t="str">
        <f ca="1">IF(ПОТ!$R30="","",IFERROR(_xlfn.XLOOKUP(ПОТ!$L30,INDIRECT("'"&amp;ПОТ!$R30&amp;"'!$C:$C"),INDIRECT("'"&amp;ПОТ!$R30&amp;"'!$F:$F"),"",-1),""))</f>
        <v/>
      </c>
      <c r="Y30" s="14" t="str">
        <f ca="1">ПОТ!$Q30</f>
        <v/>
      </c>
      <c r="Z30" t="str">
        <f ca="1">IF(ПОТ!$R30="","",IFERROR(_xlfn.XLOOKUP(ПОТ!$L30,INDIRECT("'"&amp;ПОТ!$R30&amp;"'!$C:$C"),INDIRECT("'"&amp;ПОТ!$R30&amp;"'!$G:$G"),"",-1),""))</f>
        <v/>
      </c>
    </row>
    <row r="31" spans="1:26" x14ac:dyDescent="0.3">
      <c r="A31" t="str">
        <f>IF(ISBLANK(ПОТ!$B31),"",ROW(ПОТ!$B31))</f>
        <v/>
      </c>
      <c r="B31" s="13" t="str">
        <f>IF(ISBLANK(ПОТ!$A31),"",ПОТ!$A31)</f>
        <v/>
      </c>
      <c r="C31" t="str">
        <f>ПОТ!$P31</f>
        <v/>
      </c>
      <c r="D31" t="str">
        <f>ПОТ!$C31</f>
        <v/>
      </c>
      <c r="E31" t="str">
        <f>IF(ISBLANK(ПОТ!$B31),"",ПОТ!$B31)</f>
        <v/>
      </c>
      <c r="F31" t="str">
        <f>ПОТ!$D31</f>
        <v/>
      </c>
      <c r="G31" t="str">
        <f>ПОТ!$E31</f>
        <v/>
      </c>
      <c r="H31" t="str">
        <f>ПОТ!$F31</f>
        <v/>
      </c>
      <c r="I31" t="str">
        <f>ПОТ!$G31</f>
        <v/>
      </c>
      <c r="J31" t="str">
        <f>ПОТ!$H31</f>
        <v/>
      </c>
      <c r="K31" t="str">
        <f>IF(ISBLANK(ПОТ!$I31),"",IFERROR(_xlfn.XLOOKUP(ПОТ!$I31,Справ_ВидыПремий!$B:$B,Справ_ВидыПремий!$A:$A),""))</f>
        <v/>
      </c>
      <c r="L31" t="str">
        <f>IF(ISBLANK(ПОТ!$I31),"",ПОТ!$I31)</f>
        <v/>
      </c>
      <c r="M31" t="str">
        <f>ПОТ!$R31</f>
        <v/>
      </c>
      <c r="N31" t="str">
        <f>ПОТ!$J31</f>
        <v/>
      </c>
      <c r="O31" t="str">
        <f>ПОТ!$K31</f>
        <v/>
      </c>
      <c r="P31" t="str">
        <f>IF(ISBLANK(ПОТ!$L31),"",ПОТ!$L31)</f>
        <v/>
      </c>
      <c r="Q31" t="str">
        <f>ПОТ!$M31</f>
        <v/>
      </c>
      <c r="R31" t="str">
        <f>ПОТ!$N31</f>
        <v/>
      </c>
      <c r="S31" s="14" t="str">
        <f>IF(ISBLANK(ПОТ!$O31),"",ПОТ!$O31)</f>
        <v/>
      </c>
      <c r="T31" t="str">
        <f ca="1">IF(ПОТ!$R31="","",IFERROR(_xlfn.XLOOKUP(ПОТ!$L31,INDIRECT("'"&amp;ПОТ!$R31&amp;"'!$C:$C"),INDIRECT("'"&amp;ПОТ!$R31&amp;"'!$A:$A"),"",-1),""))</f>
        <v/>
      </c>
      <c r="U31" t="str">
        <f ca="1">IF(ПОТ!$R31="","",IFERROR(_xlfn.XLOOKUP(ПОТ!$L31,INDIRECT("'"&amp;ПОТ!$R31&amp;"'!$C:$C"),INDIRECT("'"&amp;ПОТ!$R31&amp;"'!$C:$C"),"",-1),""))</f>
        <v/>
      </c>
      <c r="V31" t="str">
        <f ca="1">IF(ПОТ!$R31="","",IFERROR(_xlfn.XLOOKUP(ПОТ!$L31,INDIRECT("'"&amp;ПОТ!$R31&amp;"'!$C:$C"),INDIRECT("'"&amp;ПОТ!$R31&amp;"'!$D:$D"),"",-1),""))</f>
        <v/>
      </c>
      <c r="W31" t="str">
        <f ca="1">IF(ПОТ!$R31="","",IF(IFERROR(_xlfn.XLOOKUP(ПОТ!$L31,INDIRECT("'"&amp;ПОТ!$R31&amp;"'!$C:$C"),INDIRECT("'"&amp;ПОТ!$R31&amp;"'!$G:$G"),"",-1),"")="% выполнения",ПОТ!$L31/100,IFERROR(_xlfn.XLOOKUP(ПОТ!$L31,INDIRECT("'"&amp;ПОТ!$R31&amp;"'!$C:$C"),INDIRECT("'"&amp;ПОТ!$R31&amp;"'!$E:$E"),"",-1),"")))</f>
        <v/>
      </c>
      <c r="X31" s="14" t="str">
        <f ca="1">IF(ПОТ!$R31="","",IFERROR(_xlfn.XLOOKUP(ПОТ!$L31,INDIRECT("'"&amp;ПОТ!$R31&amp;"'!$C:$C"),INDIRECT("'"&amp;ПОТ!$R31&amp;"'!$F:$F"),"",-1),""))</f>
        <v/>
      </c>
      <c r="Y31" s="14" t="str">
        <f ca="1">ПОТ!$Q31</f>
        <v/>
      </c>
      <c r="Z31" t="str">
        <f ca="1">IF(ПОТ!$R31="","",IFERROR(_xlfn.XLOOKUP(ПОТ!$L31,INDIRECT("'"&amp;ПОТ!$R31&amp;"'!$C:$C"),INDIRECT("'"&amp;ПОТ!$R31&amp;"'!$G:$G"),"",-1),""))</f>
        <v/>
      </c>
    </row>
    <row r="32" spans="1:26" x14ac:dyDescent="0.3">
      <c r="A32" t="str">
        <f>IF(ISBLANK(ПОТ!$B32),"",ROW(ПОТ!$B32))</f>
        <v/>
      </c>
      <c r="B32" s="13" t="str">
        <f>IF(ISBLANK(ПОТ!$A32),"",ПОТ!$A32)</f>
        <v/>
      </c>
      <c r="C32" t="str">
        <f>ПОТ!$P32</f>
        <v/>
      </c>
      <c r="D32" t="str">
        <f>ПОТ!$C32</f>
        <v/>
      </c>
      <c r="E32" t="str">
        <f>IF(ISBLANK(ПОТ!$B32),"",ПОТ!$B32)</f>
        <v/>
      </c>
      <c r="F32" t="str">
        <f>ПОТ!$D32</f>
        <v/>
      </c>
      <c r="G32" t="str">
        <f>ПОТ!$E32</f>
        <v/>
      </c>
      <c r="H32" t="str">
        <f>ПОТ!$F32</f>
        <v/>
      </c>
      <c r="I32" t="str">
        <f>ПОТ!$G32</f>
        <v/>
      </c>
      <c r="J32" t="str">
        <f>ПОТ!$H32</f>
        <v/>
      </c>
      <c r="K32" t="str">
        <f>IF(ISBLANK(ПОТ!$I32),"",IFERROR(_xlfn.XLOOKUP(ПОТ!$I32,Справ_ВидыПремий!$B:$B,Справ_ВидыПремий!$A:$A),""))</f>
        <v/>
      </c>
      <c r="L32" t="str">
        <f>IF(ISBLANK(ПОТ!$I32),"",ПОТ!$I32)</f>
        <v/>
      </c>
      <c r="M32" t="str">
        <f>ПОТ!$R32</f>
        <v/>
      </c>
      <c r="N32" t="str">
        <f>ПОТ!$J32</f>
        <v/>
      </c>
      <c r="O32" t="str">
        <f>ПОТ!$K32</f>
        <v/>
      </c>
      <c r="P32" t="str">
        <f>IF(ISBLANK(ПОТ!$L32),"",ПОТ!$L32)</f>
        <v/>
      </c>
      <c r="Q32" t="str">
        <f>ПОТ!$M32</f>
        <v/>
      </c>
      <c r="R32" t="str">
        <f>ПОТ!$N32</f>
        <v/>
      </c>
      <c r="S32" s="14" t="str">
        <f>IF(ISBLANK(ПОТ!$O32),"",ПОТ!$O32)</f>
        <v/>
      </c>
      <c r="T32" t="str">
        <f ca="1">IF(ПОТ!$R32="","",IFERROR(_xlfn.XLOOKUP(ПОТ!$L32,INDIRECT("'"&amp;ПОТ!$R32&amp;"'!$C:$C"),INDIRECT("'"&amp;ПОТ!$R32&amp;"'!$A:$A"),"",-1),""))</f>
        <v/>
      </c>
      <c r="U32" t="str">
        <f ca="1">IF(ПОТ!$R32="","",IFERROR(_xlfn.XLOOKUP(ПОТ!$L32,INDIRECT("'"&amp;ПОТ!$R32&amp;"'!$C:$C"),INDIRECT("'"&amp;ПОТ!$R32&amp;"'!$C:$C"),"",-1),""))</f>
        <v/>
      </c>
      <c r="V32" t="str">
        <f ca="1">IF(ПОТ!$R32="","",IFERROR(_xlfn.XLOOKUP(ПОТ!$L32,INDIRECT("'"&amp;ПОТ!$R32&amp;"'!$C:$C"),INDIRECT("'"&amp;ПОТ!$R32&amp;"'!$D:$D"),"",-1),""))</f>
        <v/>
      </c>
      <c r="W32" t="str">
        <f ca="1">IF(ПОТ!$R32="","",IF(IFERROR(_xlfn.XLOOKUP(ПОТ!$L32,INDIRECT("'"&amp;ПОТ!$R32&amp;"'!$C:$C"),INDIRECT("'"&amp;ПОТ!$R32&amp;"'!$G:$G"),"",-1),"")="% выполнения",ПОТ!$L32/100,IFERROR(_xlfn.XLOOKUP(ПОТ!$L32,INDIRECT("'"&amp;ПОТ!$R32&amp;"'!$C:$C"),INDIRECT("'"&amp;ПОТ!$R32&amp;"'!$E:$E"),"",-1),"")))</f>
        <v/>
      </c>
      <c r="X32" s="14" t="str">
        <f ca="1">IF(ПОТ!$R32="","",IFERROR(_xlfn.XLOOKUP(ПОТ!$L32,INDIRECT("'"&amp;ПОТ!$R32&amp;"'!$C:$C"),INDIRECT("'"&amp;ПОТ!$R32&amp;"'!$F:$F"),"",-1),""))</f>
        <v/>
      </c>
      <c r="Y32" s="14" t="str">
        <f ca="1">ПОТ!$Q32</f>
        <v/>
      </c>
      <c r="Z32" t="str">
        <f ca="1">IF(ПОТ!$R32="","",IFERROR(_xlfn.XLOOKUP(ПОТ!$L32,INDIRECT("'"&amp;ПОТ!$R32&amp;"'!$C:$C"),INDIRECT("'"&amp;ПОТ!$R32&amp;"'!$G:$G"),"",-1),""))</f>
        <v/>
      </c>
    </row>
    <row r="33" spans="1:26" x14ac:dyDescent="0.3">
      <c r="A33" t="str">
        <f>IF(ISBLANK(ПОТ!$B33),"",ROW(ПОТ!$B33))</f>
        <v/>
      </c>
      <c r="B33" s="13" t="str">
        <f>IF(ISBLANK(ПОТ!$A33),"",ПОТ!$A33)</f>
        <v/>
      </c>
      <c r="C33" t="str">
        <f>ПОТ!$P33</f>
        <v/>
      </c>
      <c r="D33" t="str">
        <f>ПОТ!$C33</f>
        <v/>
      </c>
      <c r="E33" t="str">
        <f>IF(ISBLANK(ПОТ!$B33),"",ПОТ!$B33)</f>
        <v/>
      </c>
      <c r="F33" t="str">
        <f>ПОТ!$D33</f>
        <v/>
      </c>
      <c r="G33" t="str">
        <f>ПОТ!$E33</f>
        <v/>
      </c>
      <c r="H33" t="str">
        <f>ПОТ!$F33</f>
        <v/>
      </c>
      <c r="I33" t="str">
        <f>ПОТ!$G33</f>
        <v/>
      </c>
      <c r="J33" t="str">
        <f>ПОТ!$H33</f>
        <v/>
      </c>
      <c r="K33" t="str">
        <f>IF(ISBLANK(ПОТ!$I33),"",IFERROR(_xlfn.XLOOKUP(ПОТ!$I33,Справ_ВидыПремий!$B:$B,Справ_ВидыПремий!$A:$A),""))</f>
        <v/>
      </c>
      <c r="L33" t="str">
        <f>IF(ISBLANK(ПОТ!$I33),"",ПОТ!$I33)</f>
        <v/>
      </c>
      <c r="M33" t="str">
        <f>ПОТ!$R33</f>
        <v/>
      </c>
      <c r="N33" t="str">
        <f>ПОТ!$J33</f>
        <v/>
      </c>
      <c r="O33" t="str">
        <f>ПОТ!$K33</f>
        <v/>
      </c>
      <c r="P33" t="str">
        <f>IF(ISBLANK(ПОТ!$L33),"",ПОТ!$L33)</f>
        <v/>
      </c>
      <c r="Q33" t="str">
        <f>ПОТ!$M33</f>
        <v/>
      </c>
      <c r="R33" t="str">
        <f>ПОТ!$N33</f>
        <v/>
      </c>
      <c r="S33" s="14" t="str">
        <f>IF(ISBLANK(ПОТ!$O33),"",ПОТ!$O33)</f>
        <v/>
      </c>
      <c r="T33" t="str">
        <f ca="1">IF(ПОТ!$R33="","",IFERROR(_xlfn.XLOOKUP(ПОТ!$L33,INDIRECT("'"&amp;ПОТ!$R33&amp;"'!$C:$C"),INDIRECT("'"&amp;ПОТ!$R33&amp;"'!$A:$A"),"",-1),""))</f>
        <v/>
      </c>
      <c r="U33" t="str">
        <f ca="1">IF(ПОТ!$R33="","",IFERROR(_xlfn.XLOOKUP(ПОТ!$L33,INDIRECT("'"&amp;ПОТ!$R33&amp;"'!$C:$C"),INDIRECT("'"&amp;ПОТ!$R33&amp;"'!$C:$C"),"",-1),""))</f>
        <v/>
      </c>
      <c r="V33" t="str">
        <f ca="1">IF(ПОТ!$R33="","",IFERROR(_xlfn.XLOOKUP(ПОТ!$L33,INDIRECT("'"&amp;ПОТ!$R33&amp;"'!$C:$C"),INDIRECT("'"&amp;ПОТ!$R33&amp;"'!$D:$D"),"",-1),""))</f>
        <v/>
      </c>
      <c r="W33" t="str">
        <f ca="1">IF(ПОТ!$R33="","",IF(IFERROR(_xlfn.XLOOKUP(ПОТ!$L33,INDIRECT("'"&amp;ПОТ!$R33&amp;"'!$C:$C"),INDIRECT("'"&amp;ПОТ!$R33&amp;"'!$G:$G"),"",-1),"")="% выполнения",ПОТ!$L33/100,IFERROR(_xlfn.XLOOKUP(ПОТ!$L33,INDIRECT("'"&amp;ПОТ!$R33&amp;"'!$C:$C"),INDIRECT("'"&amp;ПОТ!$R33&amp;"'!$E:$E"),"",-1),"")))</f>
        <v/>
      </c>
      <c r="X33" s="14" t="str">
        <f ca="1">IF(ПОТ!$R33="","",IFERROR(_xlfn.XLOOKUP(ПОТ!$L33,INDIRECT("'"&amp;ПОТ!$R33&amp;"'!$C:$C"),INDIRECT("'"&amp;ПОТ!$R33&amp;"'!$F:$F"),"",-1),""))</f>
        <v/>
      </c>
      <c r="Y33" s="14" t="str">
        <f ca="1">ПОТ!$Q33</f>
        <v/>
      </c>
      <c r="Z33" t="str">
        <f ca="1">IF(ПОТ!$R33="","",IFERROR(_xlfn.XLOOKUP(ПОТ!$L33,INDIRECT("'"&amp;ПОТ!$R33&amp;"'!$C:$C"),INDIRECT("'"&amp;ПОТ!$R33&amp;"'!$G:$G"),"",-1),""))</f>
        <v/>
      </c>
    </row>
    <row r="34" spans="1:26" x14ac:dyDescent="0.3">
      <c r="A34" t="str">
        <f>IF(ISBLANK(ПОТ!$B34),"",ROW(ПОТ!$B34))</f>
        <v/>
      </c>
      <c r="B34" s="13" t="str">
        <f>IF(ISBLANK(ПОТ!$A34),"",ПОТ!$A34)</f>
        <v/>
      </c>
      <c r="C34" t="str">
        <f>ПОТ!$P34</f>
        <v/>
      </c>
      <c r="D34" t="str">
        <f>ПОТ!$C34</f>
        <v/>
      </c>
      <c r="E34" t="str">
        <f>IF(ISBLANK(ПОТ!$B34),"",ПОТ!$B34)</f>
        <v/>
      </c>
      <c r="F34" t="str">
        <f>ПОТ!$D34</f>
        <v/>
      </c>
      <c r="G34" t="str">
        <f>ПОТ!$E34</f>
        <v/>
      </c>
      <c r="H34" t="str">
        <f>ПОТ!$F34</f>
        <v/>
      </c>
      <c r="I34" t="str">
        <f>ПОТ!$G34</f>
        <v/>
      </c>
      <c r="J34" t="str">
        <f>ПОТ!$H34</f>
        <v/>
      </c>
      <c r="K34" t="str">
        <f>IF(ISBLANK(ПОТ!$I34),"",IFERROR(_xlfn.XLOOKUP(ПОТ!$I34,Справ_ВидыПремий!$B:$B,Справ_ВидыПремий!$A:$A),""))</f>
        <v/>
      </c>
      <c r="L34" t="str">
        <f>IF(ISBLANK(ПОТ!$I34),"",ПОТ!$I34)</f>
        <v/>
      </c>
      <c r="M34" t="str">
        <f>ПОТ!$R34</f>
        <v/>
      </c>
      <c r="N34" t="str">
        <f>ПОТ!$J34</f>
        <v/>
      </c>
      <c r="O34" t="str">
        <f>ПОТ!$K34</f>
        <v/>
      </c>
      <c r="P34" t="str">
        <f>IF(ISBLANK(ПОТ!$L34),"",ПОТ!$L34)</f>
        <v/>
      </c>
      <c r="Q34" t="str">
        <f>ПОТ!$M34</f>
        <v/>
      </c>
      <c r="R34" t="str">
        <f>ПОТ!$N34</f>
        <v/>
      </c>
      <c r="S34" s="14" t="str">
        <f>IF(ISBLANK(ПОТ!$O34),"",ПОТ!$O34)</f>
        <v/>
      </c>
      <c r="T34" t="str">
        <f ca="1">IF(ПОТ!$R34="","",IFERROR(_xlfn.XLOOKUP(ПОТ!$L34,INDIRECT("'"&amp;ПОТ!$R34&amp;"'!$C:$C"),INDIRECT("'"&amp;ПОТ!$R34&amp;"'!$A:$A"),"",-1),""))</f>
        <v/>
      </c>
      <c r="U34" t="str">
        <f ca="1">IF(ПОТ!$R34="","",IFERROR(_xlfn.XLOOKUP(ПОТ!$L34,INDIRECT("'"&amp;ПОТ!$R34&amp;"'!$C:$C"),INDIRECT("'"&amp;ПОТ!$R34&amp;"'!$C:$C"),"",-1),""))</f>
        <v/>
      </c>
      <c r="V34" t="str">
        <f ca="1">IF(ПОТ!$R34="","",IFERROR(_xlfn.XLOOKUP(ПОТ!$L34,INDIRECT("'"&amp;ПОТ!$R34&amp;"'!$C:$C"),INDIRECT("'"&amp;ПОТ!$R34&amp;"'!$D:$D"),"",-1),""))</f>
        <v/>
      </c>
      <c r="W34" t="str">
        <f ca="1">IF(ПОТ!$R34="","",IF(IFERROR(_xlfn.XLOOKUP(ПОТ!$L34,INDIRECT("'"&amp;ПОТ!$R34&amp;"'!$C:$C"),INDIRECT("'"&amp;ПОТ!$R34&amp;"'!$G:$G"),"",-1),"")="% выполнения",ПОТ!$L34/100,IFERROR(_xlfn.XLOOKUP(ПОТ!$L34,INDIRECT("'"&amp;ПОТ!$R34&amp;"'!$C:$C"),INDIRECT("'"&amp;ПОТ!$R34&amp;"'!$E:$E"),"",-1),"")))</f>
        <v/>
      </c>
      <c r="X34" s="14" t="str">
        <f ca="1">IF(ПОТ!$R34="","",IFERROR(_xlfn.XLOOKUP(ПОТ!$L34,INDIRECT("'"&amp;ПОТ!$R34&amp;"'!$C:$C"),INDIRECT("'"&amp;ПОТ!$R34&amp;"'!$F:$F"),"",-1),""))</f>
        <v/>
      </c>
      <c r="Y34" s="14" t="str">
        <f ca="1">ПОТ!$Q34</f>
        <v/>
      </c>
      <c r="Z34" t="str">
        <f ca="1">IF(ПОТ!$R34="","",IFERROR(_xlfn.XLOOKUP(ПОТ!$L34,INDIRECT("'"&amp;ПОТ!$R34&amp;"'!$C:$C"),INDIRECT("'"&amp;ПОТ!$R34&amp;"'!$G:$G"),"",-1),""))</f>
        <v/>
      </c>
    </row>
    <row r="35" spans="1:26" x14ac:dyDescent="0.3">
      <c r="A35" t="str">
        <f>IF(ISBLANK(ПОТ!$B35),"",ROW(ПОТ!$B35))</f>
        <v/>
      </c>
      <c r="B35" s="13" t="str">
        <f>IF(ISBLANK(ПОТ!$A35),"",ПОТ!$A35)</f>
        <v/>
      </c>
      <c r="C35" t="str">
        <f>ПОТ!$P35</f>
        <v/>
      </c>
      <c r="D35" t="str">
        <f>ПОТ!$C35</f>
        <v/>
      </c>
      <c r="E35" t="str">
        <f>IF(ISBLANK(ПОТ!$B35),"",ПОТ!$B35)</f>
        <v/>
      </c>
      <c r="F35" t="str">
        <f>ПОТ!$D35</f>
        <v/>
      </c>
      <c r="G35" t="str">
        <f>ПОТ!$E35</f>
        <v/>
      </c>
      <c r="H35" t="str">
        <f>ПОТ!$F35</f>
        <v/>
      </c>
      <c r="I35" t="str">
        <f>ПОТ!$G35</f>
        <v/>
      </c>
      <c r="J35" t="str">
        <f>ПОТ!$H35</f>
        <v/>
      </c>
      <c r="K35" t="str">
        <f>IF(ISBLANK(ПОТ!$I35),"",IFERROR(_xlfn.XLOOKUP(ПОТ!$I35,Справ_ВидыПремий!$B:$B,Справ_ВидыПремий!$A:$A),""))</f>
        <v/>
      </c>
      <c r="L35" t="str">
        <f>IF(ISBLANK(ПОТ!$I35),"",ПОТ!$I35)</f>
        <v/>
      </c>
      <c r="M35" t="str">
        <f>ПОТ!$R35</f>
        <v/>
      </c>
      <c r="N35" t="str">
        <f>ПОТ!$J35</f>
        <v/>
      </c>
      <c r="O35" t="str">
        <f>ПОТ!$K35</f>
        <v/>
      </c>
      <c r="P35" t="str">
        <f>IF(ISBLANK(ПОТ!$L35),"",ПОТ!$L35)</f>
        <v/>
      </c>
      <c r="Q35" t="str">
        <f>ПОТ!$M35</f>
        <v/>
      </c>
      <c r="R35" t="str">
        <f>ПОТ!$N35</f>
        <v/>
      </c>
      <c r="S35" s="14" t="str">
        <f>IF(ISBLANK(ПОТ!$O35),"",ПОТ!$O35)</f>
        <v/>
      </c>
      <c r="T35" t="str">
        <f ca="1">IF(ПОТ!$R35="","",IFERROR(_xlfn.XLOOKUP(ПОТ!$L35,INDIRECT("'"&amp;ПОТ!$R35&amp;"'!$C:$C"),INDIRECT("'"&amp;ПОТ!$R35&amp;"'!$A:$A"),"",-1),""))</f>
        <v/>
      </c>
      <c r="U35" t="str">
        <f ca="1">IF(ПОТ!$R35="","",IFERROR(_xlfn.XLOOKUP(ПОТ!$L35,INDIRECT("'"&amp;ПОТ!$R35&amp;"'!$C:$C"),INDIRECT("'"&amp;ПОТ!$R35&amp;"'!$C:$C"),"",-1),""))</f>
        <v/>
      </c>
      <c r="V35" t="str">
        <f ca="1">IF(ПОТ!$R35="","",IFERROR(_xlfn.XLOOKUP(ПОТ!$L35,INDIRECT("'"&amp;ПОТ!$R35&amp;"'!$C:$C"),INDIRECT("'"&amp;ПОТ!$R35&amp;"'!$D:$D"),"",-1),""))</f>
        <v/>
      </c>
      <c r="W35" t="str">
        <f ca="1">IF(ПОТ!$R35="","",IF(IFERROR(_xlfn.XLOOKUP(ПОТ!$L35,INDIRECT("'"&amp;ПОТ!$R35&amp;"'!$C:$C"),INDIRECT("'"&amp;ПОТ!$R35&amp;"'!$G:$G"),"",-1),"")="% выполнения",ПОТ!$L35/100,IFERROR(_xlfn.XLOOKUP(ПОТ!$L35,INDIRECT("'"&amp;ПОТ!$R35&amp;"'!$C:$C"),INDIRECT("'"&amp;ПОТ!$R35&amp;"'!$E:$E"),"",-1),"")))</f>
        <v/>
      </c>
      <c r="X35" s="14" t="str">
        <f ca="1">IF(ПОТ!$R35="","",IFERROR(_xlfn.XLOOKUP(ПОТ!$L35,INDIRECT("'"&amp;ПОТ!$R35&amp;"'!$C:$C"),INDIRECT("'"&amp;ПОТ!$R35&amp;"'!$F:$F"),"",-1),""))</f>
        <v/>
      </c>
      <c r="Y35" s="14" t="str">
        <f ca="1">ПОТ!$Q35</f>
        <v/>
      </c>
      <c r="Z35" t="str">
        <f ca="1">IF(ПОТ!$R35="","",IFERROR(_xlfn.XLOOKUP(ПОТ!$L35,INDIRECT("'"&amp;ПОТ!$R35&amp;"'!$C:$C"),INDIRECT("'"&amp;ПОТ!$R35&amp;"'!$G:$G"),"",-1),""))</f>
        <v/>
      </c>
    </row>
    <row r="36" spans="1:26" x14ac:dyDescent="0.3">
      <c r="A36" t="str">
        <f>IF(ISBLANK(ПОТ!$B36),"",ROW(ПОТ!$B36))</f>
        <v/>
      </c>
      <c r="B36" s="13" t="str">
        <f>IF(ISBLANK(ПОТ!$A36),"",ПОТ!$A36)</f>
        <v/>
      </c>
      <c r="C36" t="str">
        <f>ПОТ!$P36</f>
        <v/>
      </c>
      <c r="D36" t="str">
        <f>ПОТ!$C36</f>
        <v/>
      </c>
      <c r="E36" t="str">
        <f>IF(ISBLANK(ПОТ!$B36),"",ПОТ!$B36)</f>
        <v/>
      </c>
      <c r="F36" t="str">
        <f>ПОТ!$D36</f>
        <v/>
      </c>
      <c r="G36" t="str">
        <f>ПОТ!$E36</f>
        <v/>
      </c>
      <c r="H36" t="str">
        <f>ПОТ!$F36</f>
        <v/>
      </c>
      <c r="I36" t="str">
        <f>ПОТ!$G36</f>
        <v/>
      </c>
      <c r="J36" t="str">
        <f>ПОТ!$H36</f>
        <v/>
      </c>
      <c r="K36" t="str">
        <f>IF(ISBLANK(ПОТ!$I36),"",IFERROR(_xlfn.XLOOKUP(ПОТ!$I36,Справ_ВидыПремий!$B:$B,Справ_ВидыПремий!$A:$A),""))</f>
        <v/>
      </c>
      <c r="L36" t="str">
        <f>IF(ISBLANK(ПОТ!$I36),"",ПОТ!$I36)</f>
        <v/>
      </c>
      <c r="M36" t="str">
        <f>ПОТ!$R36</f>
        <v/>
      </c>
      <c r="N36" t="str">
        <f>ПОТ!$J36</f>
        <v/>
      </c>
      <c r="O36" t="str">
        <f>ПОТ!$K36</f>
        <v/>
      </c>
      <c r="P36" t="str">
        <f>IF(ISBLANK(ПОТ!$L36),"",ПОТ!$L36)</f>
        <v/>
      </c>
      <c r="Q36" t="str">
        <f>ПОТ!$M36</f>
        <v/>
      </c>
      <c r="R36" t="str">
        <f>ПОТ!$N36</f>
        <v/>
      </c>
      <c r="S36" s="14" t="str">
        <f>IF(ISBLANK(ПОТ!$O36),"",ПОТ!$O36)</f>
        <v/>
      </c>
      <c r="T36" t="str">
        <f ca="1">IF(ПОТ!$R36="","",IFERROR(_xlfn.XLOOKUP(ПОТ!$L36,INDIRECT("'"&amp;ПОТ!$R36&amp;"'!$C:$C"),INDIRECT("'"&amp;ПОТ!$R36&amp;"'!$A:$A"),"",-1),""))</f>
        <v/>
      </c>
      <c r="U36" t="str">
        <f ca="1">IF(ПОТ!$R36="","",IFERROR(_xlfn.XLOOKUP(ПОТ!$L36,INDIRECT("'"&amp;ПОТ!$R36&amp;"'!$C:$C"),INDIRECT("'"&amp;ПОТ!$R36&amp;"'!$C:$C"),"",-1),""))</f>
        <v/>
      </c>
      <c r="V36" t="str">
        <f ca="1">IF(ПОТ!$R36="","",IFERROR(_xlfn.XLOOKUP(ПОТ!$L36,INDIRECT("'"&amp;ПОТ!$R36&amp;"'!$C:$C"),INDIRECT("'"&amp;ПОТ!$R36&amp;"'!$D:$D"),"",-1),""))</f>
        <v/>
      </c>
      <c r="W36" t="str">
        <f ca="1">IF(ПОТ!$R36="","",IF(IFERROR(_xlfn.XLOOKUP(ПОТ!$L36,INDIRECT("'"&amp;ПОТ!$R36&amp;"'!$C:$C"),INDIRECT("'"&amp;ПОТ!$R36&amp;"'!$G:$G"),"",-1),"")="% выполнения",ПОТ!$L36/100,IFERROR(_xlfn.XLOOKUP(ПОТ!$L36,INDIRECT("'"&amp;ПОТ!$R36&amp;"'!$C:$C"),INDIRECT("'"&amp;ПОТ!$R36&amp;"'!$E:$E"),"",-1),"")))</f>
        <v/>
      </c>
      <c r="X36" s="14" t="str">
        <f ca="1">IF(ПОТ!$R36="","",IFERROR(_xlfn.XLOOKUP(ПОТ!$L36,INDIRECT("'"&amp;ПОТ!$R36&amp;"'!$C:$C"),INDIRECT("'"&amp;ПОТ!$R36&amp;"'!$F:$F"),"",-1),""))</f>
        <v/>
      </c>
      <c r="Y36" s="14" t="str">
        <f ca="1">ПОТ!$Q36</f>
        <v/>
      </c>
      <c r="Z36" t="str">
        <f ca="1">IF(ПОТ!$R36="","",IFERROR(_xlfn.XLOOKUP(ПОТ!$L36,INDIRECT("'"&amp;ПОТ!$R36&amp;"'!$C:$C"),INDIRECT("'"&amp;ПОТ!$R36&amp;"'!$G:$G"),"",-1),""))</f>
        <v/>
      </c>
    </row>
    <row r="37" spans="1:26" x14ac:dyDescent="0.3">
      <c r="A37" t="str">
        <f>IF(ISBLANK(ПОТ!$B37),"",ROW(ПОТ!$B37))</f>
        <v/>
      </c>
      <c r="B37" s="13" t="str">
        <f>IF(ISBLANK(ПОТ!$A37),"",ПОТ!$A37)</f>
        <v/>
      </c>
      <c r="C37" t="str">
        <f>ПОТ!$P37</f>
        <v/>
      </c>
      <c r="D37" t="str">
        <f>ПОТ!$C37</f>
        <v/>
      </c>
      <c r="E37" t="str">
        <f>IF(ISBLANK(ПОТ!$B37),"",ПОТ!$B37)</f>
        <v/>
      </c>
      <c r="F37" t="str">
        <f>ПОТ!$D37</f>
        <v/>
      </c>
      <c r="G37" t="str">
        <f>ПОТ!$E37</f>
        <v/>
      </c>
      <c r="H37" t="str">
        <f>ПОТ!$F37</f>
        <v/>
      </c>
      <c r="I37" t="str">
        <f>ПОТ!$G37</f>
        <v/>
      </c>
      <c r="J37" t="str">
        <f>ПОТ!$H37</f>
        <v/>
      </c>
      <c r="K37" t="str">
        <f>IF(ISBLANK(ПОТ!$I37),"",IFERROR(_xlfn.XLOOKUP(ПОТ!$I37,Справ_ВидыПремий!$B:$B,Справ_ВидыПремий!$A:$A),""))</f>
        <v/>
      </c>
      <c r="L37" t="str">
        <f>IF(ISBLANK(ПОТ!$I37),"",ПОТ!$I37)</f>
        <v/>
      </c>
      <c r="M37" t="str">
        <f>ПОТ!$R37</f>
        <v/>
      </c>
      <c r="N37" t="str">
        <f>ПОТ!$J37</f>
        <v/>
      </c>
      <c r="O37" t="str">
        <f>ПОТ!$K37</f>
        <v/>
      </c>
      <c r="P37" t="str">
        <f>IF(ISBLANK(ПОТ!$L37),"",ПОТ!$L37)</f>
        <v/>
      </c>
      <c r="Q37" t="str">
        <f>ПОТ!$M37</f>
        <v/>
      </c>
      <c r="R37" t="str">
        <f>ПОТ!$N37</f>
        <v/>
      </c>
      <c r="S37" s="14" t="str">
        <f>IF(ISBLANK(ПОТ!$O37),"",ПОТ!$O37)</f>
        <v/>
      </c>
      <c r="T37" t="str">
        <f ca="1">IF(ПОТ!$R37="","",IFERROR(_xlfn.XLOOKUP(ПОТ!$L37,INDIRECT("'"&amp;ПОТ!$R37&amp;"'!$C:$C"),INDIRECT("'"&amp;ПОТ!$R37&amp;"'!$A:$A"),"",-1),""))</f>
        <v/>
      </c>
      <c r="U37" t="str">
        <f ca="1">IF(ПОТ!$R37="","",IFERROR(_xlfn.XLOOKUP(ПОТ!$L37,INDIRECT("'"&amp;ПОТ!$R37&amp;"'!$C:$C"),INDIRECT("'"&amp;ПОТ!$R37&amp;"'!$C:$C"),"",-1),""))</f>
        <v/>
      </c>
      <c r="V37" t="str">
        <f ca="1">IF(ПОТ!$R37="","",IFERROR(_xlfn.XLOOKUP(ПОТ!$L37,INDIRECT("'"&amp;ПОТ!$R37&amp;"'!$C:$C"),INDIRECT("'"&amp;ПОТ!$R37&amp;"'!$D:$D"),"",-1),""))</f>
        <v/>
      </c>
      <c r="W37" t="str">
        <f ca="1">IF(ПОТ!$R37="","",IF(IFERROR(_xlfn.XLOOKUP(ПОТ!$L37,INDIRECT("'"&amp;ПОТ!$R37&amp;"'!$C:$C"),INDIRECT("'"&amp;ПОТ!$R37&amp;"'!$G:$G"),"",-1),"")="% выполнения",ПОТ!$L37/100,IFERROR(_xlfn.XLOOKUP(ПОТ!$L37,INDIRECT("'"&amp;ПОТ!$R37&amp;"'!$C:$C"),INDIRECT("'"&amp;ПОТ!$R37&amp;"'!$E:$E"),"",-1),"")))</f>
        <v/>
      </c>
      <c r="X37" s="14" t="str">
        <f ca="1">IF(ПОТ!$R37="","",IFERROR(_xlfn.XLOOKUP(ПОТ!$L37,INDIRECT("'"&amp;ПОТ!$R37&amp;"'!$C:$C"),INDIRECT("'"&amp;ПОТ!$R37&amp;"'!$F:$F"),"",-1),""))</f>
        <v/>
      </c>
      <c r="Y37" s="14" t="str">
        <f ca="1">ПОТ!$Q37</f>
        <v/>
      </c>
      <c r="Z37" t="str">
        <f ca="1">IF(ПОТ!$R37="","",IFERROR(_xlfn.XLOOKUP(ПОТ!$L37,INDIRECT("'"&amp;ПОТ!$R37&amp;"'!$C:$C"),INDIRECT("'"&amp;ПОТ!$R37&amp;"'!$G:$G"),"",-1),""))</f>
        <v/>
      </c>
    </row>
    <row r="38" spans="1:26" x14ac:dyDescent="0.3">
      <c r="A38" t="str">
        <f>IF(ISBLANK(ПОТ!$B38),"",ROW(ПОТ!$B38))</f>
        <v/>
      </c>
      <c r="B38" s="13" t="str">
        <f>IF(ISBLANK(ПОТ!$A38),"",ПОТ!$A38)</f>
        <v/>
      </c>
      <c r="C38" t="str">
        <f>ПОТ!$P38</f>
        <v/>
      </c>
      <c r="D38" t="str">
        <f>ПОТ!$C38</f>
        <v/>
      </c>
      <c r="E38" t="str">
        <f>IF(ISBLANK(ПОТ!$B38),"",ПОТ!$B38)</f>
        <v/>
      </c>
      <c r="F38" t="str">
        <f>ПОТ!$D38</f>
        <v/>
      </c>
      <c r="G38" t="str">
        <f>ПОТ!$E38</f>
        <v/>
      </c>
      <c r="H38" t="str">
        <f>ПОТ!$F38</f>
        <v/>
      </c>
      <c r="I38" t="str">
        <f>ПОТ!$G38</f>
        <v/>
      </c>
      <c r="J38" t="str">
        <f>ПОТ!$H38</f>
        <v/>
      </c>
      <c r="K38" t="str">
        <f>IF(ISBLANK(ПОТ!$I38),"",IFERROR(_xlfn.XLOOKUP(ПОТ!$I38,Справ_ВидыПремий!$B:$B,Справ_ВидыПремий!$A:$A),""))</f>
        <v/>
      </c>
      <c r="L38" t="str">
        <f>IF(ISBLANK(ПОТ!$I38),"",ПОТ!$I38)</f>
        <v/>
      </c>
      <c r="M38" t="str">
        <f>ПОТ!$R38</f>
        <v/>
      </c>
      <c r="N38" t="str">
        <f>ПОТ!$J38</f>
        <v/>
      </c>
      <c r="O38" t="str">
        <f>ПОТ!$K38</f>
        <v/>
      </c>
      <c r="P38" t="str">
        <f>IF(ISBLANK(ПОТ!$L38),"",ПОТ!$L38)</f>
        <v/>
      </c>
      <c r="Q38" t="str">
        <f>ПОТ!$M38</f>
        <v/>
      </c>
      <c r="R38" t="str">
        <f>ПОТ!$N38</f>
        <v/>
      </c>
      <c r="S38" s="14" t="str">
        <f>IF(ISBLANK(ПОТ!$O38),"",ПОТ!$O38)</f>
        <v/>
      </c>
      <c r="T38" t="str">
        <f ca="1">IF(ПОТ!$R38="","",IFERROR(_xlfn.XLOOKUP(ПОТ!$L38,INDIRECT("'"&amp;ПОТ!$R38&amp;"'!$C:$C"),INDIRECT("'"&amp;ПОТ!$R38&amp;"'!$A:$A"),"",-1),""))</f>
        <v/>
      </c>
      <c r="U38" t="str">
        <f ca="1">IF(ПОТ!$R38="","",IFERROR(_xlfn.XLOOKUP(ПОТ!$L38,INDIRECT("'"&amp;ПОТ!$R38&amp;"'!$C:$C"),INDIRECT("'"&amp;ПОТ!$R38&amp;"'!$C:$C"),"",-1),""))</f>
        <v/>
      </c>
      <c r="V38" t="str">
        <f ca="1">IF(ПОТ!$R38="","",IFERROR(_xlfn.XLOOKUP(ПОТ!$L38,INDIRECT("'"&amp;ПОТ!$R38&amp;"'!$C:$C"),INDIRECT("'"&amp;ПОТ!$R38&amp;"'!$D:$D"),"",-1),""))</f>
        <v/>
      </c>
      <c r="W38" t="str">
        <f ca="1">IF(ПОТ!$R38="","",IF(IFERROR(_xlfn.XLOOKUP(ПОТ!$L38,INDIRECT("'"&amp;ПОТ!$R38&amp;"'!$C:$C"),INDIRECT("'"&amp;ПОТ!$R38&amp;"'!$G:$G"),"",-1),"")="% выполнения",ПОТ!$L38/100,IFERROR(_xlfn.XLOOKUP(ПОТ!$L38,INDIRECT("'"&amp;ПОТ!$R38&amp;"'!$C:$C"),INDIRECT("'"&amp;ПОТ!$R38&amp;"'!$E:$E"),"",-1),"")))</f>
        <v/>
      </c>
      <c r="X38" s="14" t="str">
        <f ca="1">IF(ПОТ!$R38="","",IFERROR(_xlfn.XLOOKUP(ПОТ!$L38,INDIRECT("'"&amp;ПОТ!$R38&amp;"'!$C:$C"),INDIRECT("'"&amp;ПОТ!$R38&amp;"'!$F:$F"),"",-1),""))</f>
        <v/>
      </c>
      <c r="Y38" s="14" t="str">
        <f ca="1">ПОТ!$Q38</f>
        <v/>
      </c>
      <c r="Z38" t="str">
        <f ca="1">IF(ПОТ!$R38="","",IFERROR(_xlfn.XLOOKUP(ПОТ!$L38,INDIRECT("'"&amp;ПОТ!$R38&amp;"'!$C:$C"),INDIRECT("'"&amp;ПОТ!$R38&amp;"'!$G:$G"),"",-1),""))</f>
        <v/>
      </c>
    </row>
    <row r="39" spans="1:26" x14ac:dyDescent="0.3">
      <c r="A39" t="str">
        <f>IF(ISBLANK(ПОТ!$B39),"",ROW(ПОТ!$B39))</f>
        <v/>
      </c>
      <c r="B39" s="13" t="str">
        <f>IF(ISBLANK(ПОТ!$A39),"",ПОТ!$A39)</f>
        <v/>
      </c>
      <c r="C39" t="str">
        <f>ПОТ!$P39</f>
        <v/>
      </c>
      <c r="D39" t="str">
        <f>ПОТ!$C39</f>
        <v/>
      </c>
      <c r="E39" t="str">
        <f>IF(ISBLANK(ПОТ!$B39),"",ПОТ!$B39)</f>
        <v/>
      </c>
      <c r="F39" t="str">
        <f>ПОТ!$D39</f>
        <v/>
      </c>
      <c r="G39" t="str">
        <f>ПОТ!$E39</f>
        <v/>
      </c>
      <c r="H39" t="str">
        <f>ПОТ!$F39</f>
        <v/>
      </c>
      <c r="I39" t="str">
        <f>ПОТ!$G39</f>
        <v/>
      </c>
      <c r="J39" t="str">
        <f>ПОТ!$H39</f>
        <v/>
      </c>
      <c r="K39" t="str">
        <f>IF(ISBLANK(ПОТ!$I39),"",IFERROR(_xlfn.XLOOKUP(ПОТ!$I39,Справ_ВидыПремий!$B:$B,Справ_ВидыПремий!$A:$A),""))</f>
        <v/>
      </c>
      <c r="L39" t="str">
        <f>IF(ISBLANK(ПОТ!$I39),"",ПОТ!$I39)</f>
        <v/>
      </c>
      <c r="M39" t="str">
        <f>ПОТ!$R39</f>
        <v/>
      </c>
      <c r="N39" t="str">
        <f>ПОТ!$J39</f>
        <v/>
      </c>
      <c r="O39" t="str">
        <f>ПОТ!$K39</f>
        <v/>
      </c>
      <c r="P39" t="str">
        <f>IF(ISBLANK(ПОТ!$L39),"",ПОТ!$L39)</f>
        <v/>
      </c>
      <c r="Q39" t="str">
        <f>ПОТ!$M39</f>
        <v/>
      </c>
      <c r="R39" t="str">
        <f>ПОТ!$N39</f>
        <v/>
      </c>
      <c r="S39" s="14" t="str">
        <f>IF(ISBLANK(ПОТ!$O39),"",ПОТ!$O39)</f>
        <v/>
      </c>
      <c r="T39" t="str">
        <f ca="1">IF(ПОТ!$R39="","",IFERROR(_xlfn.XLOOKUP(ПОТ!$L39,INDIRECT("'"&amp;ПОТ!$R39&amp;"'!$C:$C"),INDIRECT("'"&amp;ПОТ!$R39&amp;"'!$A:$A"),"",-1),""))</f>
        <v/>
      </c>
      <c r="U39" t="str">
        <f ca="1">IF(ПОТ!$R39="","",IFERROR(_xlfn.XLOOKUP(ПОТ!$L39,INDIRECT("'"&amp;ПОТ!$R39&amp;"'!$C:$C"),INDIRECT("'"&amp;ПОТ!$R39&amp;"'!$C:$C"),"",-1),""))</f>
        <v/>
      </c>
      <c r="V39" t="str">
        <f ca="1">IF(ПОТ!$R39="","",IFERROR(_xlfn.XLOOKUP(ПОТ!$L39,INDIRECT("'"&amp;ПОТ!$R39&amp;"'!$C:$C"),INDIRECT("'"&amp;ПОТ!$R39&amp;"'!$D:$D"),"",-1),""))</f>
        <v/>
      </c>
      <c r="W39" t="str">
        <f ca="1">IF(ПОТ!$R39="","",IF(IFERROR(_xlfn.XLOOKUP(ПОТ!$L39,INDIRECT("'"&amp;ПОТ!$R39&amp;"'!$C:$C"),INDIRECT("'"&amp;ПОТ!$R39&amp;"'!$G:$G"),"",-1),"")="% выполнения",ПОТ!$L39/100,IFERROR(_xlfn.XLOOKUP(ПОТ!$L39,INDIRECT("'"&amp;ПОТ!$R39&amp;"'!$C:$C"),INDIRECT("'"&amp;ПОТ!$R39&amp;"'!$E:$E"),"",-1),"")))</f>
        <v/>
      </c>
      <c r="X39" s="14" t="str">
        <f ca="1">IF(ПОТ!$R39="","",IFERROR(_xlfn.XLOOKUP(ПОТ!$L39,INDIRECT("'"&amp;ПОТ!$R39&amp;"'!$C:$C"),INDIRECT("'"&amp;ПОТ!$R39&amp;"'!$F:$F"),"",-1),""))</f>
        <v/>
      </c>
      <c r="Y39" s="14" t="str">
        <f ca="1">ПОТ!$Q39</f>
        <v/>
      </c>
      <c r="Z39" t="str">
        <f ca="1">IF(ПОТ!$R39="","",IFERROR(_xlfn.XLOOKUP(ПОТ!$L39,INDIRECT("'"&amp;ПОТ!$R39&amp;"'!$C:$C"),INDIRECT("'"&amp;ПОТ!$R39&amp;"'!$G:$G"),"",-1),""))</f>
        <v/>
      </c>
    </row>
    <row r="40" spans="1:26" x14ac:dyDescent="0.3">
      <c r="A40" t="str">
        <f>IF(ISBLANK(ПОТ!$B40),"",ROW(ПОТ!$B40))</f>
        <v/>
      </c>
      <c r="B40" s="13" t="str">
        <f>IF(ISBLANK(ПОТ!$A40),"",ПОТ!$A40)</f>
        <v/>
      </c>
      <c r="C40" t="str">
        <f>ПОТ!$P40</f>
        <v/>
      </c>
      <c r="D40" t="str">
        <f>ПОТ!$C40</f>
        <v/>
      </c>
      <c r="E40" t="str">
        <f>IF(ISBLANK(ПОТ!$B40),"",ПОТ!$B40)</f>
        <v/>
      </c>
      <c r="F40" t="str">
        <f>ПОТ!$D40</f>
        <v/>
      </c>
      <c r="G40" t="str">
        <f>ПОТ!$E40</f>
        <v/>
      </c>
      <c r="H40" t="str">
        <f>ПОТ!$F40</f>
        <v/>
      </c>
      <c r="I40" t="str">
        <f>ПОТ!$G40</f>
        <v/>
      </c>
      <c r="J40" t="str">
        <f>ПОТ!$H40</f>
        <v/>
      </c>
      <c r="K40" t="str">
        <f>IF(ISBLANK(ПОТ!$I40),"",IFERROR(_xlfn.XLOOKUP(ПОТ!$I40,Справ_ВидыПремий!$B:$B,Справ_ВидыПремий!$A:$A),""))</f>
        <v/>
      </c>
      <c r="L40" t="str">
        <f>IF(ISBLANK(ПОТ!$I40),"",ПОТ!$I40)</f>
        <v/>
      </c>
      <c r="M40" t="str">
        <f>ПОТ!$R40</f>
        <v/>
      </c>
      <c r="N40" t="str">
        <f>ПОТ!$J40</f>
        <v/>
      </c>
      <c r="O40" t="str">
        <f>ПОТ!$K40</f>
        <v/>
      </c>
      <c r="P40" t="str">
        <f>IF(ISBLANK(ПОТ!$L40),"",ПОТ!$L40)</f>
        <v/>
      </c>
      <c r="Q40" t="str">
        <f>ПОТ!$M40</f>
        <v/>
      </c>
      <c r="R40" t="str">
        <f>ПОТ!$N40</f>
        <v/>
      </c>
      <c r="S40" s="14" t="str">
        <f>IF(ISBLANK(ПОТ!$O40),"",ПОТ!$O40)</f>
        <v/>
      </c>
      <c r="T40" t="str">
        <f ca="1">IF(ПОТ!$R40="","",IFERROR(_xlfn.XLOOKUP(ПОТ!$L40,INDIRECT("'"&amp;ПОТ!$R40&amp;"'!$C:$C"),INDIRECT("'"&amp;ПОТ!$R40&amp;"'!$A:$A"),"",-1),""))</f>
        <v/>
      </c>
      <c r="U40" t="str">
        <f ca="1">IF(ПОТ!$R40="","",IFERROR(_xlfn.XLOOKUP(ПОТ!$L40,INDIRECT("'"&amp;ПОТ!$R40&amp;"'!$C:$C"),INDIRECT("'"&amp;ПОТ!$R40&amp;"'!$C:$C"),"",-1),""))</f>
        <v/>
      </c>
      <c r="V40" t="str">
        <f ca="1">IF(ПОТ!$R40="","",IFERROR(_xlfn.XLOOKUP(ПОТ!$L40,INDIRECT("'"&amp;ПОТ!$R40&amp;"'!$C:$C"),INDIRECT("'"&amp;ПОТ!$R40&amp;"'!$D:$D"),"",-1),""))</f>
        <v/>
      </c>
      <c r="W40" t="str">
        <f ca="1">IF(ПОТ!$R40="","",IF(IFERROR(_xlfn.XLOOKUP(ПОТ!$L40,INDIRECT("'"&amp;ПОТ!$R40&amp;"'!$C:$C"),INDIRECT("'"&amp;ПОТ!$R40&amp;"'!$G:$G"),"",-1),"")="% выполнения",ПОТ!$L40/100,IFERROR(_xlfn.XLOOKUP(ПОТ!$L40,INDIRECT("'"&amp;ПОТ!$R40&amp;"'!$C:$C"),INDIRECT("'"&amp;ПОТ!$R40&amp;"'!$E:$E"),"",-1),"")))</f>
        <v/>
      </c>
      <c r="X40" s="14" t="str">
        <f ca="1">IF(ПОТ!$R40="","",IFERROR(_xlfn.XLOOKUP(ПОТ!$L40,INDIRECT("'"&amp;ПОТ!$R40&amp;"'!$C:$C"),INDIRECT("'"&amp;ПОТ!$R40&amp;"'!$F:$F"),"",-1),""))</f>
        <v/>
      </c>
      <c r="Y40" s="14" t="str">
        <f ca="1">ПОТ!$Q40</f>
        <v/>
      </c>
      <c r="Z40" t="str">
        <f ca="1">IF(ПОТ!$R40="","",IFERROR(_xlfn.XLOOKUP(ПОТ!$L40,INDIRECT("'"&amp;ПОТ!$R40&amp;"'!$C:$C"),INDIRECT("'"&amp;ПОТ!$R40&amp;"'!$G:$G"),"",-1),""))</f>
        <v/>
      </c>
    </row>
    <row r="41" spans="1:26" x14ac:dyDescent="0.3">
      <c r="A41" t="str">
        <f>IF(ISBLANK(ПОТ!$B41),"",ROW(ПОТ!$B41))</f>
        <v/>
      </c>
      <c r="B41" s="13" t="str">
        <f>IF(ISBLANK(ПОТ!$A41),"",ПОТ!$A41)</f>
        <v/>
      </c>
      <c r="C41" t="str">
        <f>ПОТ!$P41</f>
        <v/>
      </c>
      <c r="D41" t="str">
        <f>ПОТ!$C41</f>
        <v/>
      </c>
      <c r="E41" t="str">
        <f>IF(ISBLANK(ПОТ!$B41),"",ПОТ!$B41)</f>
        <v/>
      </c>
      <c r="F41" t="str">
        <f>ПОТ!$D41</f>
        <v/>
      </c>
      <c r="G41" t="str">
        <f>ПОТ!$E41</f>
        <v/>
      </c>
      <c r="H41" t="str">
        <f>ПОТ!$F41</f>
        <v/>
      </c>
      <c r="I41" t="str">
        <f>ПОТ!$G41</f>
        <v/>
      </c>
      <c r="J41" t="str">
        <f>ПОТ!$H41</f>
        <v/>
      </c>
      <c r="K41" t="str">
        <f>IF(ISBLANK(ПОТ!$I41),"",IFERROR(_xlfn.XLOOKUP(ПОТ!$I41,Справ_ВидыПремий!$B:$B,Справ_ВидыПремий!$A:$A),""))</f>
        <v/>
      </c>
      <c r="L41" t="str">
        <f>IF(ISBLANK(ПОТ!$I41),"",ПОТ!$I41)</f>
        <v/>
      </c>
      <c r="M41" t="str">
        <f>ПОТ!$R41</f>
        <v/>
      </c>
      <c r="N41" t="str">
        <f>ПОТ!$J41</f>
        <v/>
      </c>
      <c r="O41" t="str">
        <f>ПОТ!$K41</f>
        <v/>
      </c>
      <c r="P41" t="str">
        <f>IF(ISBLANK(ПОТ!$L41),"",ПОТ!$L41)</f>
        <v/>
      </c>
      <c r="Q41" t="str">
        <f>ПОТ!$M41</f>
        <v/>
      </c>
      <c r="R41" t="str">
        <f>ПОТ!$N41</f>
        <v/>
      </c>
      <c r="S41" s="14" t="str">
        <f>IF(ISBLANK(ПОТ!$O41),"",ПОТ!$O41)</f>
        <v/>
      </c>
      <c r="T41" t="str">
        <f ca="1">IF(ПОТ!$R41="","",IFERROR(_xlfn.XLOOKUP(ПОТ!$L41,INDIRECT("'"&amp;ПОТ!$R41&amp;"'!$C:$C"),INDIRECT("'"&amp;ПОТ!$R41&amp;"'!$A:$A"),"",-1),""))</f>
        <v/>
      </c>
      <c r="U41" t="str">
        <f ca="1">IF(ПОТ!$R41="","",IFERROR(_xlfn.XLOOKUP(ПОТ!$L41,INDIRECT("'"&amp;ПОТ!$R41&amp;"'!$C:$C"),INDIRECT("'"&amp;ПОТ!$R41&amp;"'!$C:$C"),"",-1),""))</f>
        <v/>
      </c>
      <c r="V41" t="str">
        <f ca="1">IF(ПОТ!$R41="","",IFERROR(_xlfn.XLOOKUP(ПОТ!$L41,INDIRECT("'"&amp;ПОТ!$R41&amp;"'!$C:$C"),INDIRECT("'"&amp;ПОТ!$R41&amp;"'!$D:$D"),"",-1),""))</f>
        <v/>
      </c>
      <c r="W41" t="str">
        <f ca="1">IF(ПОТ!$R41="","",IF(IFERROR(_xlfn.XLOOKUP(ПОТ!$L41,INDIRECT("'"&amp;ПОТ!$R41&amp;"'!$C:$C"),INDIRECT("'"&amp;ПОТ!$R41&amp;"'!$G:$G"),"",-1),"")="% выполнения",ПОТ!$L41/100,IFERROR(_xlfn.XLOOKUP(ПОТ!$L41,INDIRECT("'"&amp;ПОТ!$R41&amp;"'!$C:$C"),INDIRECT("'"&amp;ПОТ!$R41&amp;"'!$E:$E"),"",-1),"")))</f>
        <v/>
      </c>
      <c r="X41" s="14" t="str">
        <f ca="1">IF(ПОТ!$R41="","",IFERROR(_xlfn.XLOOKUP(ПОТ!$L41,INDIRECT("'"&amp;ПОТ!$R41&amp;"'!$C:$C"),INDIRECT("'"&amp;ПОТ!$R41&amp;"'!$F:$F"),"",-1),""))</f>
        <v/>
      </c>
      <c r="Y41" s="14" t="str">
        <f ca="1">ПОТ!$Q41</f>
        <v/>
      </c>
      <c r="Z41" t="str">
        <f ca="1">IF(ПОТ!$R41="","",IFERROR(_xlfn.XLOOKUP(ПОТ!$L41,INDIRECT("'"&amp;ПОТ!$R41&amp;"'!$C:$C"),INDIRECT("'"&amp;ПОТ!$R41&amp;"'!$G:$G"),"",-1),""))</f>
        <v/>
      </c>
    </row>
    <row r="42" spans="1:26" x14ac:dyDescent="0.3">
      <c r="A42" t="str">
        <f>IF(ISBLANK(ПОТ!$B42),"",ROW(ПОТ!$B42))</f>
        <v/>
      </c>
      <c r="B42" s="13" t="str">
        <f>IF(ISBLANK(ПОТ!$A42),"",ПОТ!$A42)</f>
        <v/>
      </c>
      <c r="C42" t="str">
        <f>ПОТ!$P42</f>
        <v/>
      </c>
      <c r="D42" t="str">
        <f>ПОТ!$C42</f>
        <v/>
      </c>
      <c r="E42" t="str">
        <f>IF(ISBLANK(ПОТ!$B42),"",ПОТ!$B42)</f>
        <v/>
      </c>
      <c r="F42" t="str">
        <f>ПОТ!$D42</f>
        <v/>
      </c>
      <c r="G42" t="str">
        <f>ПОТ!$E42</f>
        <v/>
      </c>
      <c r="H42" t="str">
        <f>ПОТ!$F42</f>
        <v/>
      </c>
      <c r="I42" t="str">
        <f>ПОТ!$G42</f>
        <v/>
      </c>
      <c r="J42" t="str">
        <f>ПОТ!$H42</f>
        <v/>
      </c>
      <c r="K42" t="str">
        <f>IF(ISBLANK(ПОТ!$I42),"",IFERROR(_xlfn.XLOOKUP(ПОТ!$I42,Справ_ВидыПремий!$B:$B,Справ_ВидыПремий!$A:$A),""))</f>
        <v/>
      </c>
      <c r="L42" t="str">
        <f>IF(ISBLANK(ПОТ!$I42),"",ПОТ!$I42)</f>
        <v/>
      </c>
      <c r="M42" t="str">
        <f>ПОТ!$R42</f>
        <v/>
      </c>
      <c r="N42" t="str">
        <f>ПОТ!$J42</f>
        <v/>
      </c>
      <c r="O42" t="str">
        <f>ПОТ!$K42</f>
        <v/>
      </c>
      <c r="P42" t="str">
        <f>IF(ISBLANK(ПОТ!$L42),"",ПОТ!$L42)</f>
        <v/>
      </c>
      <c r="Q42" t="str">
        <f>ПОТ!$M42</f>
        <v/>
      </c>
      <c r="R42" t="str">
        <f>ПОТ!$N42</f>
        <v/>
      </c>
      <c r="S42" s="14" t="str">
        <f>IF(ISBLANK(ПОТ!$O42),"",ПОТ!$O42)</f>
        <v/>
      </c>
      <c r="T42" t="str">
        <f ca="1">IF(ПОТ!$R42="","",IFERROR(_xlfn.XLOOKUP(ПОТ!$L42,INDIRECT("'"&amp;ПОТ!$R42&amp;"'!$C:$C"),INDIRECT("'"&amp;ПОТ!$R42&amp;"'!$A:$A"),"",-1),""))</f>
        <v/>
      </c>
      <c r="U42" t="str">
        <f ca="1">IF(ПОТ!$R42="","",IFERROR(_xlfn.XLOOKUP(ПОТ!$L42,INDIRECT("'"&amp;ПОТ!$R42&amp;"'!$C:$C"),INDIRECT("'"&amp;ПОТ!$R42&amp;"'!$C:$C"),"",-1),""))</f>
        <v/>
      </c>
      <c r="V42" t="str">
        <f ca="1">IF(ПОТ!$R42="","",IFERROR(_xlfn.XLOOKUP(ПОТ!$L42,INDIRECT("'"&amp;ПОТ!$R42&amp;"'!$C:$C"),INDIRECT("'"&amp;ПОТ!$R42&amp;"'!$D:$D"),"",-1),""))</f>
        <v/>
      </c>
      <c r="W42" t="str">
        <f ca="1">IF(ПОТ!$R42="","",IF(IFERROR(_xlfn.XLOOKUP(ПОТ!$L42,INDIRECT("'"&amp;ПОТ!$R42&amp;"'!$C:$C"),INDIRECT("'"&amp;ПОТ!$R42&amp;"'!$G:$G"),"",-1),"")="% выполнения",ПОТ!$L42/100,IFERROR(_xlfn.XLOOKUP(ПОТ!$L42,INDIRECT("'"&amp;ПОТ!$R42&amp;"'!$C:$C"),INDIRECT("'"&amp;ПОТ!$R42&amp;"'!$E:$E"),"",-1),"")))</f>
        <v/>
      </c>
      <c r="X42" s="14" t="str">
        <f ca="1">IF(ПОТ!$R42="","",IFERROR(_xlfn.XLOOKUP(ПОТ!$L42,INDIRECT("'"&amp;ПОТ!$R42&amp;"'!$C:$C"),INDIRECT("'"&amp;ПОТ!$R42&amp;"'!$F:$F"),"",-1),""))</f>
        <v/>
      </c>
      <c r="Y42" s="14" t="str">
        <f ca="1">ПОТ!$Q42</f>
        <v/>
      </c>
      <c r="Z42" t="str">
        <f ca="1">IF(ПОТ!$R42="","",IFERROR(_xlfn.XLOOKUP(ПОТ!$L42,INDIRECT("'"&amp;ПОТ!$R42&amp;"'!$C:$C"),INDIRECT("'"&amp;ПОТ!$R42&amp;"'!$G:$G"),"",-1),""))</f>
        <v/>
      </c>
    </row>
    <row r="43" spans="1:26" x14ac:dyDescent="0.3">
      <c r="A43" t="str">
        <f>IF(ISBLANK(ПОТ!$B43),"",ROW(ПОТ!$B43))</f>
        <v/>
      </c>
      <c r="B43" s="13" t="str">
        <f>IF(ISBLANK(ПОТ!$A43),"",ПОТ!$A43)</f>
        <v/>
      </c>
      <c r="C43" t="str">
        <f>ПОТ!$P43</f>
        <v/>
      </c>
      <c r="D43" t="str">
        <f>ПОТ!$C43</f>
        <v/>
      </c>
      <c r="E43" t="str">
        <f>IF(ISBLANK(ПОТ!$B43),"",ПОТ!$B43)</f>
        <v/>
      </c>
      <c r="F43" t="str">
        <f>ПОТ!$D43</f>
        <v/>
      </c>
      <c r="G43" t="str">
        <f>ПОТ!$E43</f>
        <v/>
      </c>
      <c r="H43" t="str">
        <f>ПОТ!$F43</f>
        <v/>
      </c>
      <c r="I43" t="str">
        <f>ПОТ!$G43</f>
        <v/>
      </c>
      <c r="J43" t="str">
        <f>ПОТ!$H43</f>
        <v/>
      </c>
      <c r="K43" t="str">
        <f>IF(ISBLANK(ПОТ!$I43),"",IFERROR(_xlfn.XLOOKUP(ПОТ!$I43,Справ_ВидыПремий!$B:$B,Справ_ВидыПремий!$A:$A),""))</f>
        <v/>
      </c>
      <c r="L43" t="str">
        <f>IF(ISBLANK(ПОТ!$I43),"",ПОТ!$I43)</f>
        <v/>
      </c>
      <c r="M43" t="str">
        <f>ПОТ!$R43</f>
        <v/>
      </c>
      <c r="N43" t="str">
        <f>ПОТ!$J43</f>
        <v/>
      </c>
      <c r="O43" t="str">
        <f>ПОТ!$K43</f>
        <v/>
      </c>
      <c r="P43" t="str">
        <f>IF(ISBLANK(ПОТ!$L43),"",ПОТ!$L43)</f>
        <v/>
      </c>
      <c r="Q43" t="str">
        <f>ПОТ!$M43</f>
        <v/>
      </c>
      <c r="R43" t="str">
        <f>ПОТ!$N43</f>
        <v/>
      </c>
      <c r="S43" s="14" t="str">
        <f>IF(ISBLANK(ПОТ!$O43),"",ПОТ!$O43)</f>
        <v/>
      </c>
      <c r="T43" t="str">
        <f ca="1">IF(ПОТ!$R43="","",IFERROR(_xlfn.XLOOKUP(ПОТ!$L43,INDIRECT("'"&amp;ПОТ!$R43&amp;"'!$C:$C"),INDIRECT("'"&amp;ПОТ!$R43&amp;"'!$A:$A"),"",-1),""))</f>
        <v/>
      </c>
      <c r="U43" t="str">
        <f ca="1">IF(ПОТ!$R43="","",IFERROR(_xlfn.XLOOKUP(ПОТ!$L43,INDIRECT("'"&amp;ПОТ!$R43&amp;"'!$C:$C"),INDIRECT("'"&amp;ПОТ!$R43&amp;"'!$C:$C"),"",-1),""))</f>
        <v/>
      </c>
      <c r="V43" t="str">
        <f ca="1">IF(ПОТ!$R43="","",IFERROR(_xlfn.XLOOKUP(ПОТ!$L43,INDIRECT("'"&amp;ПОТ!$R43&amp;"'!$C:$C"),INDIRECT("'"&amp;ПОТ!$R43&amp;"'!$D:$D"),"",-1),""))</f>
        <v/>
      </c>
      <c r="W43" t="str">
        <f ca="1">IF(ПОТ!$R43="","",IF(IFERROR(_xlfn.XLOOKUP(ПОТ!$L43,INDIRECT("'"&amp;ПОТ!$R43&amp;"'!$C:$C"),INDIRECT("'"&amp;ПОТ!$R43&amp;"'!$G:$G"),"",-1),"")="% выполнения",ПОТ!$L43/100,IFERROR(_xlfn.XLOOKUP(ПОТ!$L43,INDIRECT("'"&amp;ПОТ!$R43&amp;"'!$C:$C"),INDIRECT("'"&amp;ПОТ!$R43&amp;"'!$E:$E"),"",-1),"")))</f>
        <v/>
      </c>
      <c r="X43" s="14" t="str">
        <f ca="1">IF(ПОТ!$R43="","",IFERROR(_xlfn.XLOOKUP(ПОТ!$L43,INDIRECT("'"&amp;ПОТ!$R43&amp;"'!$C:$C"),INDIRECT("'"&amp;ПОТ!$R43&amp;"'!$F:$F"),"",-1),""))</f>
        <v/>
      </c>
      <c r="Y43" s="14" t="str">
        <f ca="1">ПОТ!$Q43</f>
        <v/>
      </c>
      <c r="Z43" t="str">
        <f ca="1">IF(ПОТ!$R43="","",IFERROR(_xlfn.XLOOKUP(ПОТ!$L43,INDIRECT("'"&amp;ПОТ!$R43&amp;"'!$C:$C"),INDIRECT("'"&amp;ПОТ!$R43&amp;"'!$G:$G"),"",-1),""))</f>
        <v/>
      </c>
    </row>
    <row r="44" spans="1:26" x14ac:dyDescent="0.3">
      <c r="A44" t="str">
        <f>IF(ISBLANK(ПОТ!$B44),"",ROW(ПОТ!$B44))</f>
        <v/>
      </c>
      <c r="B44" s="13" t="str">
        <f>IF(ISBLANK(ПОТ!$A44),"",ПОТ!$A44)</f>
        <v/>
      </c>
      <c r="C44" t="str">
        <f>ПОТ!$P44</f>
        <v/>
      </c>
      <c r="D44" t="str">
        <f>ПОТ!$C44</f>
        <v/>
      </c>
      <c r="E44" t="str">
        <f>IF(ISBLANK(ПОТ!$B44),"",ПОТ!$B44)</f>
        <v/>
      </c>
      <c r="F44" t="str">
        <f>ПОТ!$D44</f>
        <v/>
      </c>
      <c r="G44" t="str">
        <f>ПОТ!$E44</f>
        <v/>
      </c>
      <c r="H44" t="str">
        <f>ПОТ!$F44</f>
        <v/>
      </c>
      <c r="I44" t="str">
        <f>ПОТ!$G44</f>
        <v/>
      </c>
      <c r="J44" t="str">
        <f>ПОТ!$H44</f>
        <v/>
      </c>
      <c r="K44" t="str">
        <f>IF(ISBLANK(ПОТ!$I44),"",IFERROR(_xlfn.XLOOKUP(ПОТ!$I44,Справ_ВидыПремий!$B:$B,Справ_ВидыПремий!$A:$A),""))</f>
        <v/>
      </c>
      <c r="L44" t="str">
        <f>IF(ISBLANK(ПОТ!$I44),"",ПОТ!$I44)</f>
        <v/>
      </c>
      <c r="M44" t="str">
        <f>ПОТ!$R44</f>
        <v/>
      </c>
      <c r="N44" t="str">
        <f>ПОТ!$J44</f>
        <v/>
      </c>
      <c r="O44" t="str">
        <f>ПОТ!$K44</f>
        <v/>
      </c>
      <c r="P44" t="str">
        <f>IF(ISBLANK(ПОТ!$L44),"",ПОТ!$L44)</f>
        <v/>
      </c>
      <c r="Q44" t="str">
        <f>ПОТ!$M44</f>
        <v/>
      </c>
      <c r="R44" t="str">
        <f>ПОТ!$N44</f>
        <v/>
      </c>
      <c r="S44" s="14" t="str">
        <f>IF(ISBLANK(ПОТ!$O44),"",ПОТ!$O44)</f>
        <v/>
      </c>
      <c r="T44" t="str">
        <f ca="1">IF(ПОТ!$R44="","",IFERROR(_xlfn.XLOOKUP(ПОТ!$L44,INDIRECT("'"&amp;ПОТ!$R44&amp;"'!$C:$C"),INDIRECT("'"&amp;ПОТ!$R44&amp;"'!$A:$A"),"",-1),""))</f>
        <v/>
      </c>
      <c r="U44" t="str">
        <f ca="1">IF(ПОТ!$R44="","",IFERROR(_xlfn.XLOOKUP(ПОТ!$L44,INDIRECT("'"&amp;ПОТ!$R44&amp;"'!$C:$C"),INDIRECT("'"&amp;ПОТ!$R44&amp;"'!$C:$C"),"",-1),""))</f>
        <v/>
      </c>
      <c r="V44" t="str">
        <f ca="1">IF(ПОТ!$R44="","",IFERROR(_xlfn.XLOOKUP(ПОТ!$L44,INDIRECT("'"&amp;ПОТ!$R44&amp;"'!$C:$C"),INDIRECT("'"&amp;ПОТ!$R44&amp;"'!$D:$D"),"",-1),""))</f>
        <v/>
      </c>
      <c r="W44" t="str">
        <f ca="1">IF(ПОТ!$R44="","",IF(IFERROR(_xlfn.XLOOKUP(ПОТ!$L44,INDIRECT("'"&amp;ПОТ!$R44&amp;"'!$C:$C"),INDIRECT("'"&amp;ПОТ!$R44&amp;"'!$G:$G"),"",-1),"")="% выполнения",ПОТ!$L44/100,IFERROR(_xlfn.XLOOKUP(ПОТ!$L44,INDIRECT("'"&amp;ПОТ!$R44&amp;"'!$C:$C"),INDIRECT("'"&amp;ПОТ!$R44&amp;"'!$E:$E"),"",-1),"")))</f>
        <v/>
      </c>
      <c r="X44" s="14" t="str">
        <f ca="1">IF(ПОТ!$R44="","",IFERROR(_xlfn.XLOOKUP(ПОТ!$L44,INDIRECT("'"&amp;ПОТ!$R44&amp;"'!$C:$C"),INDIRECT("'"&amp;ПОТ!$R44&amp;"'!$F:$F"),"",-1),""))</f>
        <v/>
      </c>
      <c r="Y44" s="14" t="str">
        <f ca="1">ПОТ!$Q44</f>
        <v/>
      </c>
      <c r="Z44" t="str">
        <f ca="1">IF(ПОТ!$R44="","",IFERROR(_xlfn.XLOOKUP(ПОТ!$L44,INDIRECT("'"&amp;ПОТ!$R44&amp;"'!$C:$C"),INDIRECT("'"&amp;ПОТ!$R44&amp;"'!$G:$G"),"",-1),""))</f>
        <v/>
      </c>
    </row>
    <row r="45" spans="1:26" x14ac:dyDescent="0.3">
      <c r="A45" t="str">
        <f>IF(ISBLANK(ПОТ!$B45),"",ROW(ПОТ!$B45))</f>
        <v/>
      </c>
      <c r="B45" s="13" t="str">
        <f>IF(ISBLANK(ПОТ!$A45),"",ПОТ!$A45)</f>
        <v/>
      </c>
      <c r="C45" t="str">
        <f>ПОТ!$P45</f>
        <v/>
      </c>
      <c r="D45" t="str">
        <f>ПОТ!$C45</f>
        <v/>
      </c>
      <c r="E45" t="str">
        <f>IF(ISBLANK(ПОТ!$B45),"",ПОТ!$B45)</f>
        <v/>
      </c>
      <c r="F45" t="str">
        <f>ПОТ!$D45</f>
        <v/>
      </c>
      <c r="G45" t="str">
        <f>ПОТ!$E45</f>
        <v/>
      </c>
      <c r="H45" t="str">
        <f>ПОТ!$F45</f>
        <v/>
      </c>
      <c r="I45" t="str">
        <f>ПОТ!$G45</f>
        <v/>
      </c>
      <c r="J45" t="str">
        <f>ПОТ!$H45</f>
        <v/>
      </c>
      <c r="K45" t="str">
        <f>IF(ISBLANK(ПОТ!$I45),"",IFERROR(_xlfn.XLOOKUP(ПОТ!$I45,Справ_ВидыПремий!$B:$B,Справ_ВидыПремий!$A:$A),""))</f>
        <v/>
      </c>
      <c r="L45" t="str">
        <f>IF(ISBLANK(ПОТ!$I45),"",ПОТ!$I45)</f>
        <v/>
      </c>
      <c r="M45" t="str">
        <f>ПОТ!$R45</f>
        <v/>
      </c>
      <c r="N45" t="str">
        <f>ПОТ!$J45</f>
        <v/>
      </c>
      <c r="O45" t="str">
        <f>ПОТ!$K45</f>
        <v/>
      </c>
      <c r="P45" t="str">
        <f>IF(ISBLANK(ПОТ!$L45),"",ПОТ!$L45)</f>
        <v/>
      </c>
      <c r="Q45" t="str">
        <f>ПОТ!$M45</f>
        <v/>
      </c>
      <c r="R45" t="str">
        <f>ПОТ!$N45</f>
        <v/>
      </c>
      <c r="S45" s="14" t="str">
        <f>IF(ISBLANK(ПОТ!$O45),"",ПОТ!$O45)</f>
        <v/>
      </c>
      <c r="T45" t="str">
        <f ca="1">IF(ПОТ!$R45="","",IFERROR(_xlfn.XLOOKUP(ПОТ!$L45,INDIRECT("'"&amp;ПОТ!$R45&amp;"'!$C:$C"),INDIRECT("'"&amp;ПОТ!$R45&amp;"'!$A:$A"),"",-1),""))</f>
        <v/>
      </c>
      <c r="U45" t="str">
        <f ca="1">IF(ПОТ!$R45="","",IFERROR(_xlfn.XLOOKUP(ПОТ!$L45,INDIRECT("'"&amp;ПОТ!$R45&amp;"'!$C:$C"),INDIRECT("'"&amp;ПОТ!$R45&amp;"'!$C:$C"),"",-1),""))</f>
        <v/>
      </c>
      <c r="V45" t="str">
        <f ca="1">IF(ПОТ!$R45="","",IFERROR(_xlfn.XLOOKUP(ПОТ!$L45,INDIRECT("'"&amp;ПОТ!$R45&amp;"'!$C:$C"),INDIRECT("'"&amp;ПОТ!$R45&amp;"'!$D:$D"),"",-1),""))</f>
        <v/>
      </c>
      <c r="W45" t="str">
        <f ca="1">IF(ПОТ!$R45="","",IF(IFERROR(_xlfn.XLOOKUP(ПОТ!$L45,INDIRECT("'"&amp;ПОТ!$R45&amp;"'!$C:$C"),INDIRECT("'"&amp;ПОТ!$R45&amp;"'!$G:$G"),"",-1),"")="% выполнения",ПОТ!$L45/100,IFERROR(_xlfn.XLOOKUP(ПОТ!$L45,INDIRECT("'"&amp;ПОТ!$R45&amp;"'!$C:$C"),INDIRECT("'"&amp;ПОТ!$R45&amp;"'!$E:$E"),"",-1),"")))</f>
        <v/>
      </c>
      <c r="X45" s="14" t="str">
        <f ca="1">IF(ПОТ!$R45="","",IFERROR(_xlfn.XLOOKUP(ПОТ!$L45,INDIRECT("'"&amp;ПОТ!$R45&amp;"'!$C:$C"),INDIRECT("'"&amp;ПОТ!$R45&amp;"'!$F:$F"),"",-1),""))</f>
        <v/>
      </c>
      <c r="Y45" s="14" t="str">
        <f ca="1">ПОТ!$Q45</f>
        <v/>
      </c>
      <c r="Z45" t="str">
        <f ca="1">IF(ПОТ!$R45="","",IFERROR(_xlfn.XLOOKUP(ПОТ!$L45,INDIRECT("'"&amp;ПОТ!$R45&amp;"'!$C:$C"),INDIRECT("'"&amp;ПОТ!$R45&amp;"'!$G:$G"),"",-1),""))</f>
        <v/>
      </c>
    </row>
    <row r="46" spans="1:26" x14ac:dyDescent="0.3">
      <c r="A46" t="str">
        <f>IF(ISBLANK(ПОТ!$B46),"",ROW(ПОТ!$B46))</f>
        <v/>
      </c>
      <c r="B46" s="13" t="str">
        <f>IF(ISBLANK(ПОТ!$A46),"",ПОТ!$A46)</f>
        <v/>
      </c>
      <c r="C46" t="str">
        <f>ПОТ!$P46</f>
        <v/>
      </c>
      <c r="D46" t="str">
        <f>ПОТ!$C46</f>
        <v/>
      </c>
      <c r="E46" t="str">
        <f>IF(ISBLANK(ПОТ!$B46),"",ПОТ!$B46)</f>
        <v/>
      </c>
      <c r="F46" t="str">
        <f>ПОТ!$D46</f>
        <v/>
      </c>
      <c r="G46" t="str">
        <f>ПОТ!$E46</f>
        <v/>
      </c>
      <c r="H46" t="str">
        <f>ПОТ!$F46</f>
        <v/>
      </c>
      <c r="I46" t="str">
        <f>ПОТ!$G46</f>
        <v/>
      </c>
      <c r="J46" t="str">
        <f>ПОТ!$H46</f>
        <v/>
      </c>
      <c r="K46" t="str">
        <f>IF(ISBLANK(ПОТ!$I46),"",IFERROR(_xlfn.XLOOKUP(ПОТ!$I46,Справ_ВидыПремий!$B:$B,Справ_ВидыПремий!$A:$A),""))</f>
        <v/>
      </c>
      <c r="L46" t="str">
        <f>IF(ISBLANK(ПОТ!$I46),"",ПОТ!$I46)</f>
        <v/>
      </c>
      <c r="M46" t="str">
        <f>ПОТ!$R46</f>
        <v/>
      </c>
      <c r="N46" t="str">
        <f>ПОТ!$J46</f>
        <v/>
      </c>
      <c r="O46" t="str">
        <f>ПОТ!$K46</f>
        <v/>
      </c>
      <c r="P46" t="str">
        <f>IF(ISBLANK(ПОТ!$L46),"",ПОТ!$L46)</f>
        <v/>
      </c>
      <c r="Q46" t="str">
        <f>ПОТ!$M46</f>
        <v/>
      </c>
      <c r="R46" t="str">
        <f>ПОТ!$N46</f>
        <v/>
      </c>
      <c r="S46" s="14" t="str">
        <f>IF(ISBLANK(ПОТ!$O46),"",ПОТ!$O46)</f>
        <v/>
      </c>
      <c r="T46" t="str">
        <f ca="1">IF(ПОТ!$R46="","",IFERROR(_xlfn.XLOOKUP(ПОТ!$L46,INDIRECT("'"&amp;ПОТ!$R46&amp;"'!$C:$C"),INDIRECT("'"&amp;ПОТ!$R46&amp;"'!$A:$A"),"",-1),""))</f>
        <v/>
      </c>
      <c r="U46" t="str">
        <f ca="1">IF(ПОТ!$R46="","",IFERROR(_xlfn.XLOOKUP(ПОТ!$L46,INDIRECT("'"&amp;ПОТ!$R46&amp;"'!$C:$C"),INDIRECT("'"&amp;ПОТ!$R46&amp;"'!$C:$C"),"",-1),""))</f>
        <v/>
      </c>
      <c r="V46" t="str">
        <f ca="1">IF(ПОТ!$R46="","",IFERROR(_xlfn.XLOOKUP(ПОТ!$L46,INDIRECT("'"&amp;ПОТ!$R46&amp;"'!$C:$C"),INDIRECT("'"&amp;ПОТ!$R46&amp;"'!$D:$D"),"",-1),""))</f>
        <v/>
      </c>
      <c r="W46" t="str">
        <f ca="1">IF(ПОТ!$R46="","",IF(IFERROR(_xlfn.XLOOKUP(ПОТ!$L46,INDIRECT("'"&amp;ПОТ!$R46&amp;"'!$C:$C"),INDIRECT("'"&amp;ПОТ!$R46&amp;"'!$G:$G"),"",-1),"")="% выполнения",ПОТ!$L46/100,IFERROR(_xlfn.XLOOKUP(ПОТ!$L46,INDIRECT("'"&amp;ПОТ!$R46&amp;"'!$C:$C"),INDIRECT("'"&amp;ПОТ!$R46&amp;"'!$E:$E"),"",-1),"")))</f>
        <v/>
      </c>
      <c r="X46" s="14" t="str">
        <f ca="1">IF(ПОТ!$R46="","",IFERROR(_xlfn.XLOOKUP(ПОТ!$L46,INDIRECT("'"&amp;ПОТ!$R46&amp;"'!$C:$C"),INDIRECT("'"&amp;ПОТ!$R46&amp;"'!$F:$F"),"",-1),""))</f>
        <v/>
      </c>
      <c r="Y46" s="14" t="str">
        <f ca="1">ПОТ!$Q46</f>
        <v/>
      </c>
      <c r="Z46" t="str">
        <f ca="1">IF(ПОТ!$R46="","",IFERROR(_xlfn.XLOOKUP(ПОТ!$L46,INDIRECT("'"&amp;ПОТ!$R46&amp;"'!$C:$C"),INDIRECT("'"&amp;ПОТ!$R46&amp;"'!$G:$G"),"",-1),""))</f>
        <v/>
      </c>
    </row>
    <row r="47" spans="1:26" x14ac:dyDescent="0.3">
      <c r="A47" t="str">
        <f>IF(ISBLANK(ПОТ!$B47),"",ROW(ПОТ!$B47))</f>
        <v/>
      </c>
      <c r="B47" s="13" t="str">
        <f>IF(ISBLANK(ПОТ!$A47),"",ПОТ!$A47)</f>
        <v/>
      </c>
      <c r="C47" t="str">
        <f>ПОТ!$P47</f>
        <v/>
      </c>
      <c r="D47" t="str">
        <f>ПОТ!$C47</f>
        <v/>
      </c>
      <c r="E47" t="str">
        <f>IF(ISBLANK(ПОТ!$B47),"",ПОТ!$B47)</f>
        <v/>
      </c>
      <c r="F47" t="str">
        <f>ПОТ!$D47</f>
        <v/>
      </c>
      <c r="G47" t="str">
        <f>ПОТ!$E47</f>
        <v/>
      </c>
      <c r="H47" t="str">
        <f>ПОТ!$F47</f>
        <v/>
      </c>
      <c r="I47" t="str">
        <f>ПОТ!$G47</f>
        <v/>
      </c>
      <c r="J47" t="str">
        <f>ПОТ!$H47</f>
        <v/>
      </c>
      <c r="K47" t="str">
        <f>IF(ISBLANK(ПОТ!$I47),"",IFERROR(_xlfn.XLOOKUP(ПОТ!$I47,Справ_ВидыПремий!$B:$B,Справ_ВидыПремий!$A:$A),""))</f>
        <v/>
      </c>
      <c r="L47" t="str">
        <f>IF(ISBLANK(ПОТ!$I47),"",ПОТ!$I47)</f>
        <v/>
      </c>
      <c r="M47" t="str">
        <f>ПОТ!$R47</f>
        <v/>
      </c>
      <c r="N47" t="str">
        <f>ПОТ!$J47</f>
        <v/>
      </c>
      <c r="O47" t="str">
        <f>ПОТ!$K47</f>
        <v/>
      </c>
      <c r="P47" t="str">
        <f>IF(ISBLANK(ПОТ!$L47),"",ПОТ!$L47)</f>
        <v/>
      </c>
      <c r="Q47" t="str">
        <f>ПОТ!$M47</f>
        <v/>
      </c>
      <c r="R47" t="str">
        <f>ПОТ!$N47</f>
        <v/>
      </c>
      <c r="S47" s="14" t="str">
        <f>IF(ISBLANK(ПОТ!$O47),"",ПОТ!$O47)</f>
        <v/>
      </c>
      <c r="T47" t="str">
        <f ca="1">IF(ПОТ!$R47="","",IFERROR(_xlfn.XLOOKUP(ПОТ!$L47,INDIRECT("'"&amp;ПОТ!$R47&amp;"'!$C:$C"),INDIRECT("'"&amp;ПОТ!$R47&amp;"'!$A:$A"),"",-1),""))</f>
        <v/>
      </c>
      <c r="U47" t="str">
        <f ca="1">IF(ПОТ!$R47="","",IFERROR(_xlfn.XLOOKUP(ПОТ!$L47,INDIRECT("'"&amp;ПОТ!$R47&amp;"'!$C:$C"),INDIRECT("'"&amp;ПОТ!$R47&amp;"'!$C:$C"),"",-1),""))</f>
        <v/>
      </c>
      <c r="V47" t="str">
        <f ca="1">IF(ПОТ!$R47="","",IFERROR(_xlfn.XLOOKUP(ПОТ!$L47,INDIRECT("'"&amp;ПОТ!$R47&amp;"'!$C:$C"),INDIRECT("'"&amp;ПОТ!$R47&amp;"'!$D:$D"),"",-1),""))</f>
        <v/>
      </c>
      <c r="W47" t="str">
        <f ca="1">IF(ПОТ!$R47="","",IF(IFERROR(_xlfn.XLOOKUP(ПОТ!$L47,INDIRECT("'"&amp;ПОТ!$R47&amp;"'!$C:$C"),INDIRECT("'"&amp;ПОТ!$R47&amp;"'!$G:$G"),"",-1),"")="% выполнения",ПОТ!$L47/100,IFERROR(_xlfn.XLOOKUP(ПОТ!$L47,INDIRECT("'"&amp;ПОТ!$R47&amp;"'!$C:$C"),INDIRECT("'"&amp;ПОТ!$R47&amp;"'!$E:$E"),"",-1),"")))</f>
        <v/>
      </c>
      <c r="X47" s="14" t="str">
        <f ca="1">IF(ПОТ!$R47="","",IFERROR(_xlfn.XLOOKUP(ПОТ!$L47,INDIRECT("'"&amp;ПОТ!$R47&amp;"'!$C:$C"),INDIRECT("'"&amp;ПОТ!$R47&amp;"'!$F:$F"),"",-1),""))</f>
        <v/>
      </c>
      <c r="Y47" s="14" t="str">
        <f ca="1">ПОТ!$Q47</f>
        <v/>
      </c>
      <c r="Z47" t="str">
        <f ca="1">IF(ПОТ!$R47="","",IFERROR(_xlfn.XLOOKUP(ПОТ!$L47,INDIRECT("'"&amp;ПОТ!$R47&amp;"'!$C:$C"),INDIRECT("'"&amp;ПОТ!$R47&amp;"'!$G:$G"),"",-1),""))</f>
        <v/>
      </c>
    </row>
    <row r="48" spans="1:26" x14ac:dyDescent="0.3">
      <c r="A48" t="str">
        <f>IF(ISBLANK(ПОТ!$B48),"",ROW(ПОТ!$B48))</f>
        <v/>
      </c>
      <c r="B48" s="13" t="str">
        <f>IF(ISBLANK(ПОТ!$A48),"",ПОТ!$A48)</f>
        <v/>
      </c>
      <c r="C48" t="str">
        <f>ПОТ!$P48</f>
        <v/>
      </c>
      <c r="D48" t="str">
        <f>ПОТ!$C48</f>
        <v/>
      </c>
      <c r="E48" t="str">
        <f>IF(ISBLANK(ПОТ!$B48),"",ПОТ!$B48)</f>
        <v/>
      </c>
      <c r="F48" t="str">
        <f>ПОТ!$D48</f>
        <v/>
      </c>
      <c r="G48" t="str">
        <f>ПОТ!$E48</f>
        <v/>
      </c>
      <c r="H48" t="str">
        <f>ПОТ!$F48</f>
        <v/>
      </c>
      <c r="I48" t="str">
        <f>ПОТ!$G48</f>
        <v/>
      </c>
      <c r="J48" t="str">
        <f>ПОТ!$H48</f>
        <v/>
      </c>
      <c r="K48" t="str">
        <f>IF(ISBLANK(ПОТ!$I48),"",IFERROR(_xlfn.XLOOKUP(ПОТ!$I48,Справ_ВидыПремий!$B:$B,Справ_ВидыПремий!$A:$A),""))</f>
        <v/>
      </c>
      <c r="L48" t="str">
        <f>IF(ISBLANK(ПОТ!$I48),"",ПОТ!$I48)</f>
        <v/>
      </c>
      <c r="M48" t="str">
        <f>ПОТ!$R48</f>
        <v/>
      </c>
      <c r="N48" t="str">
        <f>ПОТ!$J48</f>
        <v/>
      </c>
      <c r="O48" t="str">
        <f>ПОТ!$K48</f>
        <v/>
      </c>
      <c r="P48" t="str">
        <f>IF(ISBLANK(ПОТ!$L48),"",ПОТ!$L48)</f>
        <v/>
      </c>
      <c r="Q48" t="str">
        <f>ПОТ!$M48</f>
        <v/>
      </c>
      <c r="R48" t="str">
        <f>ПОТ!$N48</f>
        <v/>
      </c>
      <c r="S48" s="14" t="str">
        <f>IF(ISBLANK(ПОТ!$O48),"",ПОТ!$O48)</f>
        <v/>
      </c>
      <c r="T48" t="str">
        <f ca="1">IF(ПОТ!$R48="","",IFERROR(_xlfn.XLOOKUP(ПОТ!$L48,INDIRECT("'"&amp;ПОТ!$R48&amp;"'!$C:$C"),INDIRECT("'"&amp;ПОТ!$R48&amp;"'!$A:$A"),"",-1),""))</f>
        <v/>
      </c>
      <c r="U48" t="str">
        <f ca="1">IF(ПОТ!$R48="","",IFERROR(_xlfn.XLOOKUP(ПОТ!$L48,INDIRECT("'"&amp;ПОТ!$R48&amp;"'!$C:$C"),INDIRECT("'"&amp;ПОТ!$R48&amp;"'!$C:$C"),"",-1),""))</f>
        <v/>
      </c>
      <c r="V48" t="str">
        <f ca="1">IF(ПОТ!$R48="","",IFERROR(_xlfn.XLOOKUP(ПОТ!$L48,INDIRECT("'"&amp;ПОТ!$R48&amp;"'!$C:$C"),INDIRECT("'"&amp;ПОТ!$R48&amp;"'!$D:$D"),"",-1),""))</f>
        <v/>
      </c>
      <c r="W48" t="str">
        <f ca="1">IF(ПОТ!$R48="","",IF(IFERROR(_xlfn.XLOOKUP(ПОТ!$L48,INDIRECT("'"&amp;ПОТ!$R48&amp;"'!$C:$C"),INDIRECT("'"&amp;ПОТ!$R48&amp;"'!$G:$G"),"",-1),"")="% выполнения",ПОТ!$L48/100,IFERROR(_xlfn.XLOOKUP(ПОТ!$L48,INDIRECT("'"&amp;ПОТ!$R48&amp;"'!$C:$C"),INDIRECT("'"&amp;ПОТ!$R48&amp;"'!$E:$E"),"",-1),"")))</f>
        <v/>
      </c>
      <c r="X48" s="14" t="str">
        <f ca="1">IF(ПОТ!$R48="","",IFERROR(_xlfn.XLOOKUP(ПОТ!$L48,INDIRECT("'"&amp;ПОТ!$R48&amp;"'!$C:$C"),INDIRECT("'"&amp;ПОТ!$R48&amp;"'!$F:$F"),"",-1),""))</f>
        <v/>
      </c>
      <c r="Y48" s="14" t="str">
        <f ca="1">ПОТ!$Q48</f>
        <v/>
      </c>
      <c r="Z48" t="str">
        <f ca="1">IF(ПОТ!$R48="","",IFERROR(_xlfn.XLOOKUP(ПОТ!$L48,INDIRECT("'"&amp;ПОТ!$R48&amp;"'!$C:$C"),INDIRECT("'"&amp;ПОТ!$R48&amp;"'!$G:$G"),"",-1),""))</f>
        <v/>
      </c>
    </row>
    <row r="49" spans="1:26" x14ac:dyDescent="0.3">
      <c r="A49" t="str">
        <f>IF(ISBLANK(ПОТ!$B49),"",ROW(ПОТ!$B49))</f>
        <v/>
      </c>
      <c r="B49" s="13" t="str">
        <f>IF(ISBLANK(ПОТ!$A49),"",ПОТ!$A49)</f>
        <v/>
      </c>
      <c r="C49" t="str">
        <f>ПОТ!$P49</f>
        <v/>
      </c>
      <c r="D49" t="str">
        <f>ПОТ!$C49</f>
        <v/>
      </c>
      <c r="E49" t="str">
        <f>IF(ISBLANK(ПОТ!$B49),"",ПОТ!$B49)</f>
        <v/>
      </c>
      <c r="F49" t="str">
        <f>ПОТ!$D49</f>
        <v/>
      </c>
      <c r="G49" t="str">
        <f>ПОТ!$E49</f>
        <v/>
      </c>
      <c r="H49" t="str">
        <f>ПОТ!$F49</f>
        <v/>
      </c>
      <c r="I49" t="str">
        <f>ПОТ!$G49</f>
        <v/>
      </c>
      <c r="J49" t="str">
        <f>ПОТ!$H49</f>
        <v/>
      </c>
      <c r="K49" t="str">
        <f>IF(ISBLANK(ПОТ!$I49),"",IFERROR(_xlfn.XLOOKUP(ПОТ!$I49,Справ_ВидыПремий!$B:$B,Справ_ВидыПремий!$A:$A),""))</f>
        <v/>
      </c>
      <c r="L49" t="str">
        <f>IF(ISBLANK(ПОТ!$I49),"",ПОТ!$I49)</f>
        <v/>
      </c>
      <c r="M49" t="str">
        <f>ПОТ!$R49</f>
        <v/>
      </c>
      <c r="N49" t="str">
        <f>ПОТ!$J49</f>
        <v/>
      </c>
      <c r="O49" t="str">
        <f>ПОТ!$K49</f>
        <v/>
      </c>
      <c r="P49" t="str">
        <f>IF(ISBLANK(ПОТ!$L49),"",ПОТ!$L49)</f>
        <v/>
      </c>
      <c r="Q49" t="str">
        <f>ПОТ!$M49</f>
        <v/>
      </c>
      <c r="R49" t="str">
        <f>ПОТ!$N49</f>
        <v/>
      </c>
      <c r="S49" s="14" t="str">
        <f>IF(ISBLANK(ПОТ!$O49),"",ПОТ!$O49)</f>
        <v/>
      </c>
      <c r="T49" t="str">
        <f ca="1">IF(ПОТ!$R49="","",IFERROR(_xlfn.XLOOKUP(ПОТ!$L49,INDIRECT("'"&amp;ПОТ!$R49&amp;"'!$C:$C"),INDIRECT("'"&amp;ПОТ!$R49&amp;"'!$A:$A"),"",-1),""))</f>
        <v/>
      </c>
      <c r="U49" t="str">
        <f ca="1">IF(ПОТ!$R49="","",IFERROR(_xlfn.XLOOKUP(ПОТ!$L49,INDIRECT("'"&amp;ПОТ!$R49&amp;"'!$C:$C"),INDIRECT("'"&amp;ПОТ!$R49&amp;"'!$C:$C"),"",-1),""))</f>
        <v/>
      </c>
      <c r="V49" t="str">
        <f ca="1">IF(ПОТ!$R49="","",IFERROR(_xlfn.XLOOKUP(ПОТ!$L49,INDIRECT("'"&amp;ПОТ!$R49&amp;"'!$C:$C"),INDIRECT("'"&amp;ПОТ!$R49&amp;"'!$D:$D"),"",-1),""))</f>
        <v/>
      </c>
      <c r="W49" t="str">
        <f ca="1">IF(ПОТ!$R49="","",IF(IFERROR(_xlfn.XLOOKUP(ПОТ!$L49,INDIRECT("'"&amp;ПОТ!$R49&amp;"'!$C:$C"),INDIRECT("'"&amp;ПОТ!$R49&amp;"'!$G:$G"),"",-1),"")="% выполнения",ПОТ!$L49/100,IFERROR(_xlfn.XLOOKUP(ПОТ!$L49,INDIRECT("'"&amp;ПОТ!$R49&amp;"'!$C:$C"),INDIRECT("'"&amp;ПОТ!$R49&amp;"'!$E:$E"),"",-1),"")))</f>
        <v/>
      </c>
      <c r="X49" s="14" t="str">
        <f ca="1">IF(ПОТ!$R49="","",IFERROR(_xlfn.XLOOKUP(ПОТ!$L49,INDIRECT("'"&amp;ПОТ!$R49&amp;"'!$C:$C"),INDIRECT("'"&amp;ПОТ!$R49&amp;"'!$F:$F"),"",-1),""))</f>
        <v/>
      </c>
      <c r="Y49" s="14" t="str">
        <f ca="1">ПОТ!$Q49</f>
        <v/>
      </c>
      <c r="Z49" t="str">
        <f ca="1">IF(ПОТ!$R49="","",IFERROR(_xlfn.XLOOKUP(ПОТ!$L49,INDIRECT("'"&amp;ПОТ!$R49&amp;"'!$C:$C"),INDIRECT("'"&amp;ПОТ!$R49&amp;"'!$G:$G"),"",-1),""))</f>
        <v/>
      </c>
    </row>
    <row r="50" spans="1:26" x14ac:dyDescent="0.3">
      <c r="A50" t="str">
        <f>IF(ISBLANK(ПОТ!$B50),"",ROW(ПОТ!$B50))</f>
        <v/>
      </c>
      <c r="B50" s="13" t="str">
        <f>IF(ISBLANK(ПОТ!$A50),"",ПОТ!$A50)</f>
        <v/>
      </c>
      <c r="C50" t="str">
        <f>ПОТ!$P50</f>
        <v/>
      </c>
      <c r="D50" t="str">
        <f>ПОТ!$C50</f>
        <v/>
      </c>
      <c r="E50" t="str">
        <f>IF(ISBLANK(ПОТ!$B50),"",ПОТ!$B50)</f>
        <v/>
      </c>
      <c r="F50" t="str">
        <f>ПОТ!$D50</f>
        <v/>
      </c>
      <c r="G50" t="str">
        <f>ПОТ!$E50</f>
        <v/>
      </c>
      <c r="H50" t="str">
        <f>ПОТ!$F50</f>
        <v/>
      </c>
      <c r="I50" t="str">
        <f>ПОТ!$G50</f>
        <v/>
      </c>
      <c r="J50" t="str">
        <f>ПОТ!$H50</f>
        <v/>
      </c>
      <c r="K50" t="str">
        <f>IF(ISBLANK(ПОТ!$I50),"",IFERROR(_xlfn.XLOOKUP(ПОТ!$I50,Справ_ВидыПремий!$B:$B,Справ_ВидыПремий!$A:$A),""))</f>
        <v/>
      </c>
      <c r="L50" t="str">
        <f>IF(ISBLANK(ПОТ!$I50),"",ПОТ!$I50)</f>
        <v/>
      </c>
      <c r="M50" t="str">
        <f>ПОТ!$R50</f>
        <v/>
      </c>
      <c r="N50" t="str">
        <f>ПОТ!$J50</f>
        <v/>
      </c>
      <c r="O50" t="str">
        <f>ПОТ!$K50</f>
        <v/>
      </c>
      <c r="P50" t="str">
        <f>IF(ISBLANK(ПОТ!$L50),"",ПОТ!$L50)</f>
        <v/>
      </c>
      <c r="Q50" t="str">
        <f>ПОТ!$M50</f>
        <v/>
      </c>
      <c r="R50" t="str">
        <f>ПОТ!$N50</f>
        <v/>
      </c>
      <c r="S50" s="14" t="str">
        <f>IF(ISBLANK(ПОТ!$O50),"",ПОТ!$O50)</f>
        <v/>
      </c>
      <c r="T50" t="str">
        <f ca="1">IF(ПОТ!$R50="","",IFERROR(_xlfn.XLOOKUP(ПОТ!$L50,INDIRECT("'"&amp;ПОТ!$R50&amp;"'!$C:$C"),INDIRECT("'"&amp;ПОТ!$R50&amp;"'!$A:$A"),"",-1),""))</f>
        <v/>
      </c>
      <c r="U50" t="str">
        <f ca="1">IF(ПОТ!$R50="","",IFERROR(_xlfn.XLOOKUP(ПОТ!$L50,INDIRECT("'"&amp;ПОТ!$R50&amp;"'!$C:$C"),INDIRECT("'"&amp;ПОТ!$R50&amp;"'!$C:$C"),"",-1),""))</f>
        <v/>
      </c>
      <c r="V50" t="str">
        <f ca="1">IF(ПОТ!$R50="","",IFERROR(_xlfn.XLOOKUP(ПОТ!$L50,INDIRECT("'"&amp;ПОТ!$R50&amp;"'!$C:$C"),INDIRECT("'"&amp;ПОТ!$R50&amp;"'!$D:$D"),"",-1),""))</f>
        <v/>
      </c>
      <c r="W50" t="str">
        <f ca="1">IF(ПОТ!$R50="","",IF(IFERROR(_xlfn.XLOOKUP(ПОТ!$L50,INDIRECT("'"&amp;ПОТ!$R50&amp;"'!$C:$C"),INDIRECT("'"&amp;ПОТ!$R50&amp;"'!$G:$G"),"",-1),"")="% выполнения",ПОТ!$L50/100,IFERROR(_xlfn.XLOOKUP(ПОТ!$L50,INDIRECT("'"&amp;ПОТ!$R50&amp;"'!$C:$C"),INDIRECT("'"&amp;ПОТ!$R50&amp;"'!$E:$E"),"",-1),"")))</f>
        <v/>
      </c>
      <c r="X50" s="14" t="str">
        <f ca="1">IF(ПОТ!$R50="","",IFERROR(_xlfn.XLOOKUP(ПОТ!$L50,INDIRECT("'"&amp;ПОТ!$R50&amp;"'!$C:$C"),INDIRECT("'"&amp;ПОТ!$R50&amp;"'!$F:$F"),"",-1),""))</f>
        <v/>
      </c>
      <c r="Y50" s="14" t="str">
        <f ca="1">ПОТ!$Q50</f>
        <v/>
      </c>
      <c r="Z50" t="str">
        <f ca="1">IF(ПОТ!$R50="","",IFERROR(_xlfn.XLOOKUP(ПОТ!$L50,INDIRECT("'"&amp;ПОТ!$R50&amp;"'!$C:$C"),INDIRECT("'"&amp;ПОТ!$R50&amp;"'!$G:$G"),"",-1),""))</f>
        <v/>
      </c>
    </row>
  </sheetData>
  <autoFilter ref="A1:Z50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ПОТ</vt:lpstr>
      <vt:lpstr>Справ_ВидыПремий</vt:lpstr>
      <vt:lpstr>BT-001_Премия_КолвоАМ</vt:lpstr>
      <vt:lpstr>BT-002_Премия_КумМаржа</vt:lpstr>
      <vt:lpstr>BT-003_Премия_МаржаСервис</vt:lpstr>
      <vt:lpstr>BT-004_Премия_КВФин</vt:lpstr>
      <vt:lpstr>Справ_Сотрудников</vt:lpstr>
      <vt:lpstr>Периоды</vt:lpstr>
      <vt:lpstr>ETL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Tenyakov</cp:lastModifiedBy>
  <dcterms:created xsi:type="dcterms:W3CDTF">2026-10-11T10:00:01Z</dcterms:created>
  <dcterms:modified xsi:type="dcterms:W3CDTF">2026-10-11T21:06:46Z</dcterms:modified>
</cp:coreProperties>
</file>